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ChiaraVALENTI\Downloads\"/>
    </mc:Choice>
  </mc:AlternateContent>
  <xr:revisionPtr revIDLastSave="0" documentId="8_{5232F181-FCBB-4135-A55F-D83715E1368E}" xr6:coauthVersionLast="47" xr6:coauthVersionMax="47" xr10:uidLastSave="{00000000-0000-0000-0000-000000000000}"/>
  <bookViews>
    <workbookView xWindow="-110" yWindow="-110" windowWidth="25820" windowHeight="15500" firstSheet="3" activeTab="3" xr2:uid="{00000000-000D-0000-FFFF-FFFF00000000}"/>
  </bookViews>
  <sheets>
    <sheet name="Scoring matrix" sheetId="1" r:id="rId1"/>
    <sheet name="Indicators and profiles" sheetId="2" r:id="rId2"/>
    <sheet name="Decisions and sources" sheetId="4" r:id="rId3"/>
    <sheet name="Coding exampl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3" l="1"/>
  <c r="H41" i="3"/>
  <c r="G41" i="3"/>
  <c r="F41" i="3"/>
  <c r="K41" i="3" s="1"/>
  <c r="K40" i="3"/>
  <c r="I40" i="3"/>
  <c r="H40" i="3"/>
  <c r="G40" i="3"/>
  <c r="F40" i="3"/>
  <c r="J40" i="3" s="1"/>
  <c r="I39" i="3"/>
  <c r="H39" i="3"/>
  <c r="G39" i="3"/>
  <c r="F39" i="3"/>
  <c r="J39" i="3" s="1"/>
  <c r="M39" i="3" s="1"/>
  <c r="K38" i="3"/>
  <c r="I38" i="3"/>
  <c r="H38" i="3"/>
  <c r="G38" i="3"/>
  <c r="J38" i="3" s="1"/>
  <c r="F38" i="3"/>
  <c r="I37" i="3"/>
  <c r="H37" i="3"/>
  <c r="G37" i="3"/>
  <c r="F37" i="3"/>
  <c r="J37" i="3" s="1"/>
  <c r="K36" i="3"/>
  <c r="I36" i="3"/>
  <c r="H36" i="3"/>
  <c r="G36" i="3"/>
  <c r="J36" i="3" s="1"/>
  <c r="F36" i="3"/>
  <c r="J31" i="3"/>
  <c r="I31" i="3"/>
  <c r="H31" i="3"/>
  <c r="K31" i="3" s="1"/>
  <c r="J30" i="3"/>
  <c r="K30" i="3" s="1"/>
  <c r="I30" i="3"/>
  <c r="H30" i="3"/>
  <c r="J29" i="3"/>
  <c r="I29" i="3"/>
  <c r="H29" i="3"/>
  <c r="K29" i="3" s="1"/>
  <c r="J28" i="3"/>
  <c r="I28" i="3"/>
  <c r="H28" i="3"/>
  <c r="K28" i="3" s="1"/>
  <c r="M27" i="3"/>
  <c r="L27" i="3"/>
  <c r="K27" i="3"/>
  <c r="J27" i="3"/>
  <c r="I27" i="3"/>
  <c r="H27" i="3"/>
  <c r="J26" i="3"/>
  <c r="I26" i="3"/>
  <c r="H26" i="3"/>
  <c r="K26" i="3" s="1"/>
  <c r="J21" i="3"/>
  <c r="K21" i="3" s="1"/>
  <c r="L20" i="3"/>
  <c r="M20" i="3" s="1"/>
  <c r="K20" i="3"/>
  <c r="J20" i="3"/>
  <c r="J19" i="3"/>
  <c r="K19" i="3" s="1"/>
  <c r="J18" i="3"/>
  <c r="K18" i="3" s="1"/>
  <c r="J17" i="3"/>
  <c r="K17" i="3" s="1"/>
  <c r="L16" i="3"/>
  <c r="M16" i="3" s="1"/>
  <c r="K16" i="3"/>
  <c r="J16" i="3"/>
  <c r="J15" i="3"/>
  <c r="K15" i="3" s="1"/>
  <c r="M21" i="3" l="1"/>
  <c r="L21" i="3"/>
  <c r="M30" i="3"/>
  <c r="L30" i="3"/>
  <c r="L31" i="3"/>
  <c r="M31" i="3"/>
  <c r="M26" i="3"/>
  <c r="L26" i="3"/>
  <c r="L18" i="3"/>
  <c r="M18" i="3" s="1"/>
  <c r="M15" i="3"/>
  <c r="L15" i="3"/>
  <c r="M36" i="3"/>
  <c r="L36" i="3"/>
  <c r="M40" i="3"/>
  <c r="L40" i="3"/>
  <c r="L17" i="3"/>
  <c r="M17" i="3" s="1"/>
  <c r="L28" i="3"/>
  <c r="M28" i="3"/>
  <c r="M19" i="3"/>
  <c r="L19" i="3"/>
  <c r="L41" i="3"/>
  <c r="M29" i="3"/>
  <c r="L29" i="3"/>
  <c r="M38" i="3"/>
  <c r="L38" i="3"/>
  <c r="J41" i="3"/>
  <c r="M41" i="3" s="1"/>
  <c r="K39" i="3"/>
  <c r="L39" i="3" s="1"/>
  <c r="K37" i="3"/>
  <c r="L37" i="3" s="1"/>
  <c r="M37" i="3" l="1"/>
</calcChain>
</file>

<file path=xl/sharedStrings.xml><?xml version="1.0" encoding="utf-8"?>
<sst xmlns="http://schemas.openxmlformats.org/spreadsheetml/2006/main" count="967" uniqueCount="807">
  <si>
    <t>RRM household analysis matrix — draft</t>
  </si>
  <si>
    <t>Version and scope</t>
  </si>
  <si>
    <t>Draft 0.1 | 2 October 2026. One household × alert × assessment occasion. Baseline modes only. Survey v2 row references remain original; proposed field names refer to the agreed revisions.</t>
  </si>
  <si>
    <t>Tool assumptions</t>
  </si>
  <si>
    <t>Row 173 removed. Expenditure amounts 139–147 removed; categories retained. Water-treatment rows 163–165 removed. Revised shortage, sanitation-sharing, handwashing and unmet-health fields assumed.</t>
  </si>
  <si>
    <t>Common draft scale</t>
  </si>
  <si>
    <t>1 = no/limited measured gap; 2 = moderate; 3 = high; 4 = very high. Unknown is blank, never 0. These RRM levels are proposals, not SSC, IPC, CARI, JMP or clinical severity classifications.</t>
  </si>
  <si>
    <t>Primary outcome</t>
  </si>
  <si>
    <t>Count sectors at level ≥3; also count sectors at level 4. Retain highest observed level and sector combination. Count food, shelter, WASH and health once each. Do not sum or average sector levels.</t>
  </si>
  <si>
    <t>Profiles and vulnerability</t>
  </si>
  <si>
    <t>Keep demographics, displacement, hosting and coping outside the four-sector need score. Analyse associations first. No demographic weights or automatic household eligibility score are established in this draft.</t>
  </si>
  <si>
    <t>Incomplete evidence</t>
  </si>
  <si>
    <t>Observed maximum is a lower bound if a required component is missing. A known level ≥3 confirms high need even in a partial sector; a negative high-need flag requires all required components to be known.</t>
  </si>
  <si>
    <t>Approval before use</t>
  </si>
  <si>
    <t>Native FCS/HHS/JMP outputs can be coded now. RRM mappings, cross-sector thresholds and LCS strategy classes need agreement and pilot review. Record the approved rule version with every derived record.</t>
  </si>
  <si>
    <t>Measure</t>
  </si>
  <si>
    <t>Source in revised tool</t>
  </si>
  <si>
    <t>Level 1</t>
  </si>
  <si>
    <t>Level 2</t>
  </si>
  <si>
    <t>Level 3</t>
  </si>
  <si>
    <t>Level 4</t>
  </si>
  <si>
    <t>Missing data and aggregation</t>
  </si>
  <si>
    <t>Basis / source ID</t>
  </si>
  <si>
    <t>S01 Shelter condition</t>
  </si>
  <si>
    <t>151 shelter_type; revised 153 shelter_condition</t>
  </si>
  <si>
    <t>No damage</t>
  </si>
  <si>
    <t>Damaged but fully usable</t>
  </si>
  <si>
    <t>Partly unusable</t>
  </si>
  <si>
    <t>Unsafe to occupy/risk of collapse OR uninhabitable; sleeping_outdoors at 151</t>
  </si>
  <si>
    <t>Outdoor answer bypasses condition: score 4 from type. Other shelter types need condition evidence. Tent/collective centre/makeshift alone does not determine need.</t>
  </si>
  <si>
    <t>Draft RRM mapping; S1</t>
  </si>
  <si>
    <t>S02 Shelter issues</t>
  </si>
  <si>
    <t>154 shelter_issues; weather option split</t>
  </si>
  <si>
    <t>Explicit none</t>
  </si>
  <si>
    <t>Thermal/ventilation, privacy, space, lock or unsafe-location problem</t>
  </si>
  <si>
    <t>Failure to protect from rain/leaks</t>
  </si>
  <si>
    <t>No level-4 rule from an issues list alone</t>
  </si>
  <si>
    <t>Maximum mapped substantive issue. Other unresolved = incomplete; none/DK/refusal must be exclusive. Location/lock answers alone do not prove life threat.</t>
  </si>
  <si>
    <t>S03 Domestic function</t>
  </si>
  <si>
    <t>New cooking, sleeping and storage fields, after 157</t>
  </si>
  <si>
    <t>Without difficulty</t>
  </si>
  <si>
    <t>With difficulty</t>
  </si>
  <si>
    <t>Unable</t>
  </si>
  <si>
    <t>No level-4 rule from function alone</t>
  </si>
  <si>
    <t>Score each of the three separately. Enumerators must frame difficulty as due to shelter/facilities/essential items, not food scarcity or illness; unresolved attribution means unclassified.</t>
  </si>
  <si>
    <t>S04 Shelter sector</t>
  </si>
  <si>
    <t>S01 + S02 + three S03 outputs</t>
  </si>
  <si>
    <t>Maximum component = 1</t>
  </si>
  <si>
    <t>Maximum = 2</t>
  </si>
  <si>
    <t>Maximum = 3</t>
  </si>
  <si>
    <t>Maximum = 4</t>
  </si>
  <si>
    <t>MAX of valid components; never item count. Five core components for sheltered HHs. Outdoor no-shelter trigger confirms 4; preserve other missing fields. Exclude WASH/health from this score.</t>
  </si>
  <si>
    <t>Adapted core, not full SSC; S1</t>
  </si>
  <si>
    <t>F01 FCS component</t>
  </si>
  <si>
    <t>113–120; fcs_score and fcs_category</t>
  </si>
  <si>
    <t>Acceptable FCS</t>
  </si>
  <si>
    <t>Borderline FCS</t>
  </si>
  <si>
    <t>Poor FCS</t>
  </si>
  <si>
    <t>No level-4 assignment from FCS alone</t>
  </si>
  <si>
    <t>Draft cutoff values 21 and 35; adjusted 28 and 42 available on Coding examples. Context choice must be approved. All eight frequencies needed for native score.</t>
  </si>
  <si>
    <t>Native category; draft RRM mapping; S2</t>
  </si>
  <si>
    <t>F02 HHS component</t>
  </si>
  <si>
    <t>New HHS occurrences and frequencies before 121</t>
  </si>
  <si>
    <t>HHS 0–1</t>
  </si>
  <si>
    <t>No separate level-2 HHS category</t>
  </si>
  <si>
    <t>HHS 2–3</t>
  </si>
  <si>
    <t>HHS 4–6</t>
  </si>
  <si>
    <t>Standard score 0–6; native categories little/no, moderate, severe hunger. Mapping moderate hunger to RRM level 3 is an explicit proposal. HHS ≥5 needs triangulation/DQ follow-up, not a famine label.</t>
  </si>
  <si>
    <t>Native category; draft RRM mapping; S3</t>
  </si>
  <si>
    <t>F03 Food sector</t>
  </si>
  <si>
    <t>F01 + F02</t>
  </si>
  <si>
    <t>Both components map to 1</t>
  </si>
  <si>
    <t>Highest component = 2</t>
  </si>
  <si>
    <t>Highest component = 3</t>
  </si>
  <si>
    <t>Highest component = 4</t>
  </si>
  <si>
    <t>MAX of FCS/HHS mapped levels. Poor diet and hunger are retained separately. Missing one component leaves a partial observed maximum; never infer low food need from HHS alone.</t>
  </si>
  <si>
    <t>Draft RRM aggregation; S2–S3</t>
  </si>
  <si>
    <t>W01 Drinking-water access</t>
  </si>
  <si>
    <t>160 source + 162 collection time</t>
  </si>
  <si>
    <t>Improved source, round trip ≤30 min</t>
  </si>
  <si>
    <t>Improved &gt;30 min OR unimproved source</t>
  </si>
  <si>
    <t>Surface water</t>
  </si>
  <si>
    <t>No level-4 rule from source/access alone</t>
  </si>
  <si>
    <t>Retain native JMP-aligned service category. Unknown collection time makes improved-source access unknown. Known unimproved/surface type can be classified without time. No safely-managed claim.</t>
  </si>
  <si>
    <t>Native service; draft RRM mapping; S4</t>
  </si>
  <si>
    <t>W02 Drinking/cooking shortage</t>
  </si>
  <si>
    <t>New water_shortage_days_7d replaces 166</t>
  </si>
  <si>
    <t>0 days</t>
  </si>
  <si>
    <t>1–2 days</t>
  </si>
  <si>
    <t>3–5 days</t>
  </si>
  <si>
    <t>6–7 days</t>
  </si>
  <si>
    <t>Integer 0–7 only. These frequency bands are proposed for discussion, not an international severity standard or an estimate of volume/survival threat. Test sensitivity to ≥1 and ≥4 high-need cutoffs.</t>
  </si>
  <si>
    <t>Draft RRM bands; S4 context</t>
  </si>
  <si>
    <t>W03 Sanitation</t>
  </si>
  <si>
    <t>167 facility + new sanitation_shared after 168</t>
  </si>
  <si>
    <t>Improved, not shared (at least basic)</t>
  </si>
  <si>
    <t>Improved shared (limited) OR unimproved</t>
  </si>
  <si>
    <t>No facility/open defecation</t>
  </si>
  <si>
    <t>No level-4 rule from sanitation alone</t>
  </si>
  <si>
    <t>For unimproved/open defecation, sharing is not required to identify the native category. Improved facility with missing sharing is unclassified. Unclear facility/Other needs review.</t>
  </si>
  <si>
    <t>Native service; draft RRM mapping; S5</t>
  </si>
  <si>
    <t>W04 Handwashing</t>
  </si>
  <si>
    <t>New handwashing_status replaces 169</t>
  </si>
  <si>
    <t>Place with water and soap</t>
  </si>
  <si>
    <t>Place missing water/soap OR no place</t>
  </si>
  <si>
    <t>No level-3 rule from this item alone</t>
  </si>
  <si>
    <t>No level-4 rule from this item alone</t>
  </si>
  <si>
    <t>Retain native basic/limited/no-facility category. Treat reported-only evidence as reported; not verified/unknown is missing. No place remains no facility, not "unimproved".</t>
  </si>
  <si>
    <t>Native service; draft RRM mapping; S6</t>
  </si>
  <si>
    <t>W05 Hygiene water</t>
  </si>
  <si>
    <t>New water_hygiene_sufficient_7d</t>
  </si>
  <si>
    <t>Yes</t>
  </si>
  <si>
    <t>No</t>
  </si>
  <si>
    <t>No level-3 rule from binary insufficiency alone</t>
  </si>
  <si>
    <t>No level-4 rule</t>
  </si>
  <si>
    <t>Unknown/refused = missing. Binary hygiene shortage has no frequency/quantity information; do not invent a higher severity from it.</t>
  </si>
  <si>
    <t>Draft RRM mapping</t>
  </si>
  <si>
    <t>W06 WASH sector</t>
  </si>
  <si>
    <t>W01–W05</t>
  </si>
  <si>
    <t>MAX of five components. Water, sanitation and hygiene are one sector. Missing component yields partial observed maximum. Basic infrastructure does not cancel frequent water shortages.</t>
  </si>
  <si>
    <t>Draft RRM aggregation; S4–S6</t>
  </si>
  <si>
    <t>H01 Health sector: no unmet care</t>
  </si>
  <si>
    <t>172 need; 176 access; new unresolved follow-up</t>
  </si>
  <si>
    <t>Need=no; OR need=yes and access=all; OR some/none access and unresolved=no</t>
  </si>
  <si>
    <t>Not used on these branches</t>
  </si>
  <si>
    <t>Not used</t>
  </si>
  <si>
    <t>No reported current unmet-care gap in the measured branch. Retain historical unmet-care flag when unresolved=no. Access=all does not prove good health, and this tool does not assess residual illness after full care.</t>
  </si>
  <si>
    <t>Draft household proxy; S7</t>
  </si>
  <si>
    <t>H02 Health sector: current unmet care</t>
  </si>
  <si>
    <t>172=yes; 176=some/none; unresolved=yes; new activity impact</t>
  </si>
  <si>
    <t>Not assigned on this branch</t>
  </si>
  <si>
    <t>No limitation of usual activities</t>
  </si>
  <si>
    <t>Some limitation of usual activities</t>
  </si>
  <si>
    <t>Unable to carry out usual activities</t>
  </si>
  <si>
    <t>If unresolved yes but impact missing, observed floor=2, high-need status unknown. If unresolved unknown, sector unclassified. Types/barriers describe care needs; symptom labels alone do not score severity.</t>
  </si>
  <si>
    <t>Draft proxy; health review required; S7</t>
  </si>
  <si>
    <t>C01 High-need concurrence</t>
  </si>
  <si>
    <t>Four sector high_need flags</t>
  </si>
  <si>
    <t>Not an ordinal score</t>
  </si>
  <si>
    <t>High need = sector observed level ≥3</t>
  </si>
  <si>
    <t>Very high = observed level 4</t>
  </si>
  <si>
    <t>Record number_high_need_sectors_observed and bounds. Do not treat partial counts as exact or divide observed counts by known sectors to rank HHs. Protection/education/LCS do not enter.</t>
  </si>
  <si>
    <t>Proposed RRM outcome</t>
  </si>
  <si>
    <t>C02 Highest need and combination</t>
  </si>
  <si>
    <t>Four observed levels and high_need flags</t>
  </si>
  <si>
    <t>Retain separately</t>
  </si>
  <si>
    <t>Record high-need sector names</t>
  </si>
  <si>
    <t>Record very-high sector names</t>
  </si>
  <si>
    <t>Highest_sector_need_level_observed = max available; blank if none. If missing sectors and max&lt;4, exact maximum unknown. Combination uses fixed Food, Shelter, WASH, Health order.</t>
  </si>
  <si>
    <t>Indicators, profile variables and analysis outputs</t>
  </si>
  <si>
    <t>Source convention</t>
  </si>
  <si>
    <t>Original v2 Excel rows locate inputs. New fields are specified in the final review and this draft. Normalise actual choice codes before calculations; do not silently change existing codes.</t>
  </si>
  <si>
    <t>Calculation sequence</t>
  </si>
  <si>
    <t>Clean inputs → native indicators → approved RRM component mappings → sector levels/flags → concurrence → profile comparisons. Keep raw answers and separate derived columns.</t>
  </si>
  <si>
    <t>Derived field</t>
  </si>
  <si>
    <t>Source / original row</t>
  </si>
  <si>
    <t>Population / recall</t>
  </si>
  <si>
    <t>Calculation or rule</t>
  </si>
  <si>
    <t>Missing / validation rule</t>
  </si>
  <si>
    <t>Output placement</t>
  </si>
  <si>
    <t>Basis</t>
  </si>
  <si>
    <t>fcs_score; fcs_complete</t>
  </si>
  <si>
    <t>113–120: fcs_cereals/pulses/vegetables/fruit/meat/milk/sugar/oil_days</t>
  </si>
  <si>
    <t>7 days; all baseline HHs</t>
  </si>
  <si>
    <t>2*cereals + 3*pulses + vegetables + fruit + 4*meat + 4*milk + 0.5*sugar + 0.5*oil. Range 0–112.</t>
  </si>
  <si>
    <t>Require eight integers 0–7; invalid answers need review, not clipping/imputation. Missing item → score blank.</t>
  </si>
  <si>
    <t>Native output; before 121</t>
  </si>
  <si>
    <t>S2</t>
  </si>
  <si>
    <t>fcs_category; fcs_cutoff_version</t>
  </si>
  <si>
    <t>fcs_score + approved lower/upper cutoffs</t>
  </si>
  <si>
    <t>Complete FCS only</t>
  </si>
  <si>
    <t>Poor ≤lower; borderline &gt;lower and ≤upper; acceptable &gt;upper. Draft standard lower=21, upper=35. Adjusted lower=28, upper=42 only after agreement.</t>
  </si>
  <si>
    <t>Do not choose whichever cutoff gives desired caseload. Store cutoff set and version.</t>
  </si>
  <si>
    <t>Native category; before 121</t>
  </si>
  <si>
    <t>hhs_item_1/2/3</t>
  </si>
  <si>
    <t>New occurrence + corresponding *_frequency</t>
  </si>
  <si>
    <t>30 days; all baseline HHs</t>
  </si>
  <si>
    <t>Occurrence no →0. Yes + rarely/sometimes →1. Yes + often →2.</t>
  </si>
  <si>
    <t>No occurrence requires no frequency; yes with missing frequency → item missing. Unknown occurrence never becomes zero.</t>
  </si>
  <si>
    <t>Native item recodes; before 121</t>
  </si>
  <si>
    <t>S3</t>
  </si>
  <si>
    <t>hhs_score; hhs_category</t>
  </si>
  <si>
    <t>Three valid HHS item scores</t>
  </si>
  <si>
    <t>30 days</t>
  </si>
  <si>
    <t>Sum 3 scores, 0–6. Category 0–1 little/no hunger; 2–3 moderate; 4–6 severe.</t>
  </si>
  <si>
    <t>Require all 3 recodes. Add hhs_extreme_review flag for ≥5; validate and triangulate without labelling IPC phase.</t>
  </si>
  <si>
    <t>hhs_score_lower/upper</t>
  </si>
  <si>
    <t>Known HHS recodes + count missing</t>
  </si>
  <si>
    <t>Only for incomplete HHS</t>
  </si>
  <si>
    <t>Lower=sum known items; upper=lower + 2*missing items. Derive a category only if entire range lies in one category, with status bounded.</t>
  </si>
  <si>
    <t>Never export lower bound as native hhs_score. Optional positive high-need evidence if lower≥2; very-high if lower≥4, after mapping approved.</t>
  </si>
  <si>
    <t>Optional bounds for analysis</t>
  </si>
  <si>
    <t>RRM missing-data rule</t>
  </si>
  <si>
    <t>lcs_strategy_active</t>
  </si>
  <si>
    <t>124–133, ten lcsen_* fields</t>
  </si>
  <si>
    <t>30-day use; 12-month exhaustion</t>
  </si>
  <si>
    <t>yes or no_exhausted → active=1. no_not_needed or not_applicable →0. DK/refusal → missing.</t>
  </si>
  <si>
    <t>Not applicable means strategy never available. Keep use and exhaustion flags separately.</t>
  </si>
  <si>
    <t>Coping output; before 134</t>
  </si>
  <si>
    <t>S8</t>
  </si>
  <si>
    <t>lcsen_class_observed; completeness</t>
  </si>
  <si>
    <t>Ten active flags × agreed strategy categories</t>
  </si>
  <si>
    <t>Not part of four-sector need score</t>
  </si>
  <si>
    <t>Highest active strategy class: 1 none; 2 stress; 3 crisis; 4 emergency. Exact none requires all relevant strategies known.</t>
  </si>
  <si>
    <t>Draft classes in Decisions. Missing responses/mapping mean partial class. Do not sum strategy categories or count LCS as fifth sector.</t>
  </si>
  <si>
    <t>Derived after agreement</t>
  </si>
  <si>
    <t>shelter_condition_level</t>
  </si>
  <si>
    <t>151, revised 153</t>
  </si>
  <si>
    <t>Current shelter</t>
  </si>
  <si>
    <t>Map as S01. sleeping_outdoors →4; otherwise use physical condition.</t>
  </si>
  <si>
    <t>Accepts condition skip only for outdoor branch. Unknown/Other unresolved → missing.</t>
  </si>
  <si>
    <t>RRM component before 158</t>
  </si>
  <si>
    <t>S1</t>
  </si>
  <si>
    <t>shelter_issues_level</t>
  </si>
  <si>
    <t>154, refined shelter_issues choices</t>
  </si>
  <si>
    <t>none→1; rain/leaks→3; other specified core issues→2. Maximum selected mapped level.</t>
  </si>
  <si>
    <t>Substantive + none/DK/refusal invalid. Unresolved Other makes component partial. unsafe_location does not prove imminent life threat.</t>
  </si>
  <si>
    <t>shelter_function_levels</t>
  </si>
  <si>
    <t>New cooking, sleeping, storage fields</t>
  </si>
  <si>
    <t>Current living arrangement</t>
  </si>
  <si>
    <t>Each: without difficulty→1; with difficulty→2; unable→3.</t>
  </si>
  <si>
    <t>Clarify shelter-related cause through enumerator hint. Unknown attribution/answer → missing; no extra cause module proposed.</t>
  </si>
  <si>
    <t>Three components before 158</t>
  </si>
  <si>
    <t>water_source_type</t>
  </si>
  <si>
    <t>160 drinking_water_source</t>
  </si>
  <si>
    <t>Current main source</t>
  </si>
  <si>
    <t>Improved: piped, standpipe, borehole, protected well/spring, rainwater, packaged/delivered including water truck. Unprotected well/spring→unimproved; surface→surface.</t>
  </si>
  <si>
    <t>Potential safety, not tested water quality. Other requires documented recode; DK/refusal missing.</t>
  </si>
  <si>
    <t>Native input category</t>
  </si>
  <si>
    <t>S4</t>
  </si>
  <si>
    <t>water_service_category</t>
  </si>
  <si>
    <t>Source type + 162 minutes</t>
  </si>
  <si>
    <t>Current source/access</t>
  </si>
  <si>
    <t>Improved and 0–30 min→at_least_basic; improved &gt;30→limited; unimproved→unimproved; surface→surface_water.</t>
  </si>
  <si>
    <t>Unknown time for improved source leaves service unknown. No safely-managed output; availability and contamination criteria not fully assessed.</t>
  </si>
  <si>
    <t>Before 170</t>
  </si>
  <si>
    <t>water_shortage_days_7d; flags</t>
  </si>
  <si>
    <t>Revised 166 integer</t>
  </si>
  <si>
    <t>7 days</t>
  </si>
  <si>
    <t>Valid 0–7. shortage_present=days&gt;0; sufficiency=days=0. Map draft bands in Scoring matrix.</t>
  </si>
  <si>
    <t>Blank is missing; cannot calculate litres/person/day. Water-source service and shortage remain separate.</t>
  </si>
  <si>
    <t>RRM proposed bands</t>
  </si>
  <si>
    <t>sanitation_service_category</t>
  </si>
  <si>
    <t>167 facility + new sanitation_shared</t>
  </si>
  <si>
    <t>Current main facility</t>
  </si>
  <si>
    <t>Known improved + no sharing→at_least_basic; improved + sharing→limited; known unimproved→unimproved; no_facility___bush___field→open_defecation.</t>
  </si>
  <si>
    <t>Sharing structural skip for no facility. Unclear destination/Other or unverified composting type requires review. Use type map below.</t>
  </si>
  <si>
    <t>S5</t>
  </si>
  <si>
    <t>handwashing_service_category</t>
  </si>
  <si>
    <t>New handwashing_status + evidence</t>
  </si>
  <si>
    <t>Today; premises</t>
  </si>
  <si>
    <t>Both water/soap→basic; place missing either→limited; no place→no_facility. Retain observed/reported provenance.</t>
  </si>
  <si>
    <t>Not verified or DK/refusal→unclassified. Reported-only result labelled reported; sensitivity analysis can restrict to observed records.</t>
  </si>
  <si>
    <t>S6</t>
  </si>
  <si>
    <t>health_unmet_30d</t>
  </si>
  <si>
    <t>172 need + 176 access</t>
  </si>
  <si>
    <t>Need=no→not_applicable for access; unmet flag=0 in reported recall. Need=yes and all→0; some/none→1.</t>
  </si>
  <si>
    <t>Need or access unknown→unmet unknown. Do not infer which demographic group lacked care: row 173 removed.</t>
  </si>
  <si>
    <t>Before 179</t>
  </si>
  <si>
    <t>S7 concept</t>
  </si>
  <si>
    <t>health_current_unmet; impact</t>
  </si>
  <si>
    <t>New unresolved + activity-impact fields</t>
  </si>
  <si>
    <t>Current, among past unmet care</t>
  </si>
  <si>
    <t>Some/none access: unresolved=yes→1; no→0; unknown→missing. Map current=yes and impact to H02; current=no→level1 plus historical flag.</t>
  </si>
  <si>
    <t>Need=no/access=all structurally skip these follow-ups. Unresolved yes with impact missing confirms only a level-2 floor, not high need.</t>
  </si>
  <si>
    <t>Proposed household proxy</t>
  </si>
  <si>
    <t>health_unmet_types; barriers</t>
  </si>
  <si>
    <t>New unmet types + 177–178</t>
  </si>
  <si>
    <t>Past 30-day care gaps</t>
  </si>
  <si>
    <t>Retain multi-response flags for planning. Restrict substantive unmet-type options to 174 where known; allow DK/refusal.</t>
  </si>
  <si>
    <t>Unknown type need not invalidate known activity impact. A diagnosis/category is not a severity weight.</t>
  </si>
  <si>
    <t>Descriptive outputs</t>
  </si>
  <si>
    <t>{sector}_need_level_observed</t>
  </si>
  <si>
    <t>Valid mapped components per sector</t>
  </si>
  <si>
    <t>One HH/alert/occasion</t>
  </si>
  <si>
    <t>MAX known component levels; blank if no valid mapped evidence. Health uses branch rule.</t>
  </si>
  <si>
    <t>Not an exact score when higher components could be missing. Mapping not approved → do not release sector score.</t>
  </si>
  <si>
    <t>Four sector outputs</t>
  </si>
  <si>
    <t>Proposed RRM rule</t>
  </si>
  <si>
    <t>{sector}_classification_status</t>
  </si>
  <si>
    <t>Core applicable components</t>
  </si>
  <si>
    <t>Sector-specific</t>
  </si>
  <si>
    <t>complete if all applicable core components valid; partial if some valid; unknown if none. Add invalid/inconsistent flag separately.</t>
  </si>
  <si>
    <t>Shelter outdoors identifies ceiling 4 but other missing fields remain recorded. Health branch skips are legitimate, not missing.</t>
  </si>
  <si>
    <t>Four status outputs</t>
  </si>
  <si>
    <t>{sector}_high_need</t>
  </si>
  <si>
    <t>Observed level + complete status</t>
  </si>
  <si>
    <t>High threshold=3 in draft</t>
  </si>
  <si>
    <t>1 if any valid component≥3; 0 if complete and all&lt;3; otherwise blank.</t>
  </si>
  <si>
    <t>Positive evidence survives partial data. Missing approval/mapping prevents release of flags.</t>
  </si>
  <si>
    <t>Four tri-state flags</t>
  </si>
  <si>
    <t>{sector}_very_high_need</t>
  </si>
  <si>
    <t>Very-high threshold=4</t>
  </si>
  <si>
    <t>1 if any component=4; 0 if complete and all&lt;4; otherwise blank.</t>
  </si>
  <si>
    <t>Partial observed level3 cannot prove absence of level4.</t>
  </si>
  <si>
    <t>high_need_count_lower/upper</t>
  </si>
  <si>
    <t>Four high_need flags</t>
  </si>
  <si>
    <t>Four sectors only</t>
  </si>
  <si>
    <t>Lower=count flags=1. Upper=lower + count unknown flags. If all flags unknown: bounds [0,4], exact count blank.</t>
  </si>
  <si>
    <t>Use lower=0 with known evidence denominator; never report [0,4] as no needs.</t>
  </si>
  <si>
    <t>After sector modules</t>
  </si>
  <si>
    <t>number_high_need_sectors_exact</t>
  </si>
  <si>
    <t>Complete high-flag evidence</t>
  </si>
  <si>
    <t>Count positives only if all four flags known; otherwise blank. Can be exact despite some partial sectors if all four thresholds are resolved.</t>
  </si>
  <si>
    <t>Export number_high_need_flags_known and number_sectors_complete separately.</t>
  </si>
  <si>
    <t>very_high_count_lower/upper/exact</t>
  </si>
  <si>
    <t>Four very_high_need flags</t>
  </si>
  <si>
    <t>Use the same bounds logic as high count: lower=count1; upper=lower+unknown. Exact=count1 only when all four very-high flags known.</t>
  </si>
  <si>
    <t>Export number_very_high_sectors_exact separately from high count. A partial known level3 does not prove no level4.</t>
  </si>
  <si>
    <t>concurrent_high_need_flag</t>
  </si>
  <si>
    <t>High count lower and upper</t>
  </si>
  <si>
    <t>At least two high-need sectors</t>
  </si>
  <si>
    <t>Lower≥2→1; upper&lt;2→0; otherwise unknown. Define an analogous very-high concurrence flag if required.</t>
  </si>
  <si>
    <t>A household can have confirmed concurrence even if its exact count is unknown. Report exact count separately.</t>
  </si>
  <si>
    <t>highest_need_observed; highest_exact</t>
  </si>
  <si>
    <t>Four observed sector levels</t>
  </si>
  <si>
    <t>Four sectors</t>
  </si>
  <si>
    <t>Observed=max known. Exact=observed if all sectors exact, or observed=4 ceiling. Otherwise exact blank.</t>
  </si>
  <si>
    <t>Missing sectors could have higher need; classification status remains visible.</t>
  </si>
  <si>
    <t>high_need_combination; breadth</t>
  </si>
  <si>
    <t>Four high_need flags and exact count</t>
  </si>
  <si>
    <t>One household record</t>
  </si>
  <si>
    <t>Fixed names Food; Shelter; WASH; Health for positives. Exact breadth 0 none detected, 1 single sector, 2/3/4 concurrent sectors.</t>
  </si>
  <si>
    <t>If any flag unknown, label combination observed and breadth partial. Do not sum item flags within a sector.</t>
  </si>
  <si>
    <t>education flag and proportion</t>
  </si>
  <si>
    <t>94 children_5_17_total; 181–182</t>
  </si>
  <si>
    <t>Current school attendance</t>
  </si>
  <si>
    <t>Known school-age total=0→not_applicable. Yes→flag1; no→0. Proportion=count out of school / total if both known, total&gt;0 and count≤total.</t>
  </si>
  <si>
    <t>No→derive count0 if consistent. Positive out-of-school count conflicting with no needs review. No education severity score.</t>
  </si>
  <si>
    <t>Before 185</t>
  </si>
  <si>
    <t>User scope</t>
  </si>
  <si>
    <t>protection flag</t>
  </si>
  <si>
    <t>188–190</t>
  </si>
  <si>
    <t>3 months; perceived/experienced risk</t>
  </si>
  <si>
    <t>yes→1; no→0; unknown/refusal→missing. Retain main concern separately.</t>
  </si>
  <si>
    <t>No protection severity score. Keep sensitive details out of shared household outputs/dashboard.</t>
  </si>
  <si>
    <t>Before 191</t>
  </si>
  <si>
    <t>expenditure_category_flags</t>
  </si>
  <si>
    <t>137–138 only</t>
  </si>
  <si>
    <t>Retain category selections and no monetary expenditure as context.</t>
  </si>
  <si>
    <t>No amount total, FES, ECMEN, MEB gap or debt amount; rows 139–147 removed.</t>
  </si>
  <si>
    <t>Descriptive; no need score</t>
  </si>
  <si>
    <t>User agreed reduction</t>
  </si>
  <si>
    <t>Household profiles — independent of need scores</t>
  </si>
  <si>
    <t>Profile / output</t>
  </si>
  <si>
    <t>Population / scope</t>
  </si>
  <si>
    <t>Derivation or analysis</t>
  </si>
  <si>
    <t>Missing / interpretation</t>
  </si>
  <si>
    <t>Use</t>
  </si>
  <si>
    <t>record_key; assessment_stage</t>
  </si>
  <si>
    <t>hh_id, submission_id, alert_id, interview_date, use_mode</t>
  </si>
  <si>
    <t>Same household can have several occasions</t>
  </si>
  <si>
    <t>One analytical baseline per HH×alert×occasion. Use a documented earliest/latest valid baseline rule; retain later records separately.</t>
  </si>
  <si>
    <t>Do not pool repeat records as different HHs. Flag overlapping alerts, unverified IDs and status changes.</t>
  </si>
  <si>
    <t>Analysis dataset</t>
  </si>
  <si>
    <t>User design</t>
  </si>
  <si>
    <t>head_sex; head_age; head_age_group</t>
  </si>
  <si>
    <t>82 hhh_sex; 83 hhh_age; 84 hhh_child_headed</t>
  </si>
  <si>
    <t>Household head, not respondent</t>
  </si>
  <si>
    <t>Retain reported sex categories. Draft age bands &lt;18, 18–49, 50+ for descriptive comparison; child-headed=age&lt;18.</t>
  </si>
  <si>
    <t>Unknown head age/sex remains unknown. No extra points for age/sex in sector needs.</t>
  </si>
  <si>
    <t>Profile variables</t>
  </si>
  <si>
    <t>female_total; male_total</t>
  </si>
  <si>
    <t>85–92</t>
  </si>
  <si>
    <t>Household members only</t>
  </si>
  <si>
    <t>Female=sum girls0–4, girls5–17, women18–49, women50+; male equivalents.</t>
  </si>
  <si>
    <t>Require all relevant components for each total. Keep child ages in years despite legacy _59m variable names.</t>
  </si>
  <si>
    <t>Profiles / donor breakdown</t>
  </si>
  <si>
    <t>Existing tool</t>
  </si>
  <si>
    <t>children_total; adults_total; child_share</t>
  </si>
  <si>
    <t>Under18 vs18+</t>
  </si>
  <si>
    <t>Children=0–4 and5–17 counts; adults=18–49 and50+. child_share=children/(children+adults) with full valid composition.</t>
  </si>
  <si>
    <t>Child_share blank if size mismatch unresolved or counts incomplete. No dependent-age ratio using unsupported 60/65+ bands.</t>
  </si>
  <si>
    <t>household_size; composition_status</t>
  </si>
  <si>
    <t>79 and93; new check fields</t>
  </si>
  <si>
    <t>Household definition at34</t>
  </si>
  <si>
    <t>Retain reported size and demographic total separately. Standardise final field names to household_composition_check_status/difference.</t>
  </si>
  <si>
    <t>Do not mix separate hosted households into size. Do not silently choose a total after mismatch.</t>
  </si>
  <si>
    <t>DQ and profiles</t>
  </si>
  <si>
    <t>ToT revision</t>
  </si>
  <si>
    <t>children_present; children_0_4_present</t>
  </si>
  <si>
    <t>85–88</t>
  </si>
  <si>
    <t>Household</t>
  </si>
  <si>
    <t>1 if any relevant known count&gt;0; 0 only if all relevant counts known zero; otherwise unknown.</t>
  </si>
  <si>
    <t>Positive can be established from partial counts; absence requires complete relevant counts.</t>
  </si>
  <si>
    <t>pregnant_breastfeeding_present</t>
  </si>
  <si>
    <t>96</t>
  </si>
  <si>
    <t>Current</t>
  </si>
  <si>
    <t>Keep yes/no/DK/refusal as independent profile flag.</t>
  </si>
  <si>
    <t>No causal or severity weight automatically assigned.</t>
  </si>
  <si>
    <t>Profile variable</t>
  </si>
  <si>
    <t>functional_difficulty_present/count</t>
  </si>
  <si>
    <t>99–106 + revised child/adult sex counts</t>
  </si>
  <si>
    <t>Household screening</t>
  </si>
  <si>
    <t>Any a_lot/cannot→reported qualifying difficulty present. Sum donor split only when complete. Count people once, not domains.</t>
  </si>
  <si>
    <t>All six known negative→screen negative; any missing without positive→unknown. This household-max screen is not individual WG prevalence.</t>
  </si>
  <si>
    <t>Profile / donor variables</t>
  </si>
  <si>
    <t>Existing household screening</t>
  </si>
  <si>
    <t>displacement_profile</t>
  </si>
  <si>
    <t>53 currently_away;54 ever_displaced;56 returned</t>
  </si>
  <si>
    <t>At interview</t>
  </si>
  <si>
    <t>Currently away=yes→currently_displaced; away=no and returned=yes→returned_after_displacement; away=no and ever=no→never_displaced; away=no/ever=yes/returned=no→other_displacement_history.</t>
  </si>
  <si>
    <t>Impossible combinations flagged; avoid forcing all households into IDP/host/returnee. Missing prerequisites unknown.</t>
  </si>
  <si>
    <t>affected_by_alert; displacement_alert_link</t>
  </si>
  <si>
    <t>52 and55</t>
  </si>
  <si>
    <t>Specific alert</t>
  </si>
  <si>
    <t>Preserve directly affected yes/no separately from displacement linked yes/no. Not applicable if no displacement; unknown remains unknown.</t>
  </si>
  <si>
    <t>No default linkage from geographic location or interview mode.</t>
  </si>
  <si>
    <t>repeat_displacement; episode_count</t>
  </si>
  <si>
    <t>57</t>
  </si>
  <si>
    <t>Displacement history</t>
  </si>
  <si>
    <t>Known episodes≥2→repeat1; episodes=1→0. Preserve raw count.</t>
  </si>
  <si>
    <t>Not applicable for never displaced; unknown episode count unknown.</t>
  </si>
  <si>
    <t>days_since_departure; days_at_location</t>
  </si>
  <si>
    <t>19,58–60,71–74</t>
  </si>
  <si>
    <t>Exact dates only</t>
  </si>
  <si>
    <t>Interview date minus exact departure/arrival date, when precision=exact and dates valid.</t>
  </si>
  <si>
    <t>Future dates/negative values require review. Do not impute month/period dates into exact days. Do not require arrival≥latest departure for people displaced previously from a different location without checking context.</t>
  </si>
  <si>
    <t>hosting_others; hosted_by_others</t>
  </si>
  <si>
    <t>77 in both baseline modes;150</t>
  </si>
  <si>
    <t>Current household arrangement</t>
  </si>
  <si>
    <t>Keep independent yes/no/unknown flags. Cross-tab yes/yes,yes/no,no/yes,no/no where both known.</t>
  </si>
  <si>
    <t>IDP can host; host is not a mutually exclusive displacement status.</t>
  </si>
  <si>
    <t>hosted_people_count; hosting_load</t>
  </si>
  <si>
    <t>78 + reliable household size</t>
  </si>
  <si>
    <t>Separate hosted households</t>
  </si>
  <si>
    <t>Retain count; optional ratio=hosted people / interviewed HH members where both valid and size&gt;0.</t>
  </si>
  <si>
    <t>Ratio describes load, not severity. Hosted people not added to donor demographics for this HH.</t>
  </si>
  <si>
    <t>alert/location/mode/date strata</t>
  </si>
  <si>
    <t>11–17;19;30–33;10</t>
  </si>
  <si>
    <t>Analytical strata</t>
  </si>
  <si>
    <t>Use actual interview location separately from alert metadata. Compare profiles within alert/site/time and separate IDP baseline from host sample.</t>
  </si>
  <si>
    <t>Mode alone does not establish displacement status. Remove names/phone/GPS at household precision from shared analytical files.</t>
  </si>
  <si>
    <t>Analysis grouping</t>
  </si>
  <si>
    <t>profile_association_table</t>
  </si>
  <si>
    <t>Profiles × exact high-need count or resolved high flags</t>
  </si>
  <si>
    <t>Assessed HHs; scoped to alert</t>
  </si>
  <si>
    <t>For each profile: N assessed, N with known outcome, unknown N, number and % high need; exact count distribution0–4, very-high count, combinations.</t>
  </si>
  <si>
    <t>Report denominators. Unknown profiles separate. For partial outcomes show lower/upper prevalence bounds rather than treat unknown as negative.</t>
  </si>
  <si>
    <t>Analysis outside Kobo</t>
  </si>
  <si>
    <t>RRM analytical approach</t>
  </si>
  <si>
    <t>sampling_and_association</t>
  </si>
  <si>
    <t>IDP census/coverage vs host sample</t>
  </si>
  <si>
    <t>By alert/site and population</t>
  </si>
  <si>
    <t>Within-group descriptive comparisons first. Weighted estimates only for a probability sample with inclusion weights; show CI where design supports it. Exploratory Fisher tests/logistic models only with adequate counts/design.</t>
  </si>
  <si>
    <t>Do not pool IDP census and host sample unweighted for population prevalence. Associations do not demonstrate causation; sparse cells suppressed/aggregated.</t>
  </si>
  <si>
    <t>Methodological rule</t>
  </si>
  <si>
    <t>future vulnerability approach</t>
  </si>
  <si>
    <t>Need outcomes + profile associations</t>
  </si>
  <si>
    <t>Separate later decision</t>
  </si>
  <si>
    <t>Use findings to propose transparent household prioritisation rules, then validate with partners/community process. Retain an auditable rationale and rule version.</t>
  </si>
  <si>
    <t>No vulnerability weights or automatic CAC eligibility assignment in this draft; avoid circular correlation from embedding profiles into need score.</t>
  </si>
  <si>
    <t>Later analytical step</t>
  </si>
  <si>
    <t>User objective</t>
  </si>
  <si>
    <t>Choice-code mapping for implementation</t>
  </si>
  <si>
    <t>Field / list</t>
  </si>
  <si>
    <t>Choice codes</t>
  </si>
  <si>
    <t>Meaning / scope</t>
  </si>
  <si>
    <t>Analysis mapping</t>
  </si>
  <si>
    <t>Implementation / missing rule</t>
  </si>
  <si>
    <t>Status</t>
  </si>
  <si>
    <t>Water source: existing</t>
  </si>
  <si>
    <t>fo07l53: option_1, option_2, option_3, rainwater, water_truck</t>
  </si>
  <si>
    <t>Piped,borehole,protected spring,rainwater,truck</t>
  </si>
  <si>
    <t>source_type=improved; combine with collection minutes.</t>
  </si>
  <si>
    <t>Keep codes as supplied. Refine option_1 label if public tap is separated.</t>
  </si>
  <si>
    <t>Native source mapping</t>
  </si>
  <si>
    <t>Water source: new</t>
  </si>
  <si>
    <t>protected_dug_well; public_standpipe; packaged_water</t>
  </si>
  <si>
    <t>Proposed new choice codes</t>
  </si>
  <si>
    <t>source_type=improved.</t>
  </si>
  <si>
    <t>Confirm final codes match revised choices; packaged source only if locally relevant.</t>
  </si>
  <si>
    <t>Proposed codes; native type</t>
  </si>
  <si>
    <t>Water source: other</t>
  </si>
  <si>
    <t>unprotected_wells_or_springs; surface_water; other</t>
  </si>
  <si>
    <t>Existing codes</t>
  </si>
  <si>
    <t>First→unimproved; second→surface; Other→review text.</t>
  </si>
  <si>
    <t>Dont_know/prefer_not/blank or unresolved Other→unknown.</t>
  </si>
  <si>
    <t>Source mapping</t>
  </si>
  <si>
    <t>Sanitation: improved</t>
  </si>
  <si>
    <t>kj3ak20: option_1, option_2, flush_to_pit_latrine, dry_pit_latrine_with_slap</t>
  </si>
  <si>
    <t>Existing names retained</t>
  </si>
  <si>
    <t>type=improved; sharing=no→at_least_basic, yes→limited.</t>
  </si>
  <si>
    <t>The legacy _slap spelling denotes slab. Unknown sharing leaves service unknown.</t>
  </si>
  <si>
    <t>Facility mapping</t>
  </si>
  <si>
    <t>Sanitation: unimproved</t>
  </si>
  <si>
    <t>flush_to_open_drain; dry_pit_latrine_without_slab___open_pit; bucket; other_container; hanging_toilet___hanging_latrine</t>
  </si>
  <si>
    <t>Existing names</t>
  </si>
  <si>
    <t>type/service=unimproved.</t>
  </si>
  <si>
    <t>Sharing not needed for native category. No severity4 assignment.</t>
  </si>
  <si>
    <t>Sanitation: no facility</t>
  </si>
  <si>
    <t>no_facility___bush___field</t>
  </si>
  <si>
    <t>Existing name</t>
  </si>
  <si>
    <t>service=open_defecation.</t>
  </si>
  <si>
    <t>Do not ask sharing; structural skip valid.</t>
  </si>
  <si>
    <t>Sanitation: destination unclear</t>
  </si>
  <si>
    <t>flush_to_don_t_know_where</t>
  </si>
  <si>
    <t>Keep destination-unknown category for technical recode; do not call it basic.</t>
  </si>
  <si>
    <t>Confirm JMP-compatible treatment with WASH colleagues; pending review→unclassified in draft.</t>
  </si>
  <si>
    <t>Review required</t>
  </si>
  <si>
    <t>Sanitation: composting</t>
  </si>
  <si>
    <t>twin_pit_composting_toilet_with_slab; twin_pit_composting_toilet_without_slab; other_composting_toilet</t>
  </si>
  <si>
    <t>Verify local design meets hygienic separation/composting definition; approved map then improved or unimproved.</t>
  </si>
  <si>
    <t>Do not assign type from the word composting alone; record reviewed mapping, then use sharing if improved.</t>
  </si>
  <si>
    <t>Sanitation: other/unknown</t>
  </si>
  <si>
    <t>other; dont_know; prefer_not; blank</t>
  </si>
  <si>
    <t>Other new refusal choices</t>
  </si>
  <si>
    <t>Other→review text; others→unknown.</t>
  </si>
  <si>
    <t>Unclassified is never automatic unimproved/open defecation.</t>
  </si>
  <si>
    <t>Missing / review</t>
  </si>
  <si>
    <t>Shelter condition</t>
  </si>
  <si>
    <t>adequate; minor; major; uninhabitable; NEW unsafe_to_occupy</t>
  </si>
  <si>
    <t>Existing codes + proposed new</t>
  </si>
  <si>
    <t>Map1,2,3,4,4 respectively after labels are refined to usability/risk.</t>
  </si>
  <si>
    <t>Dont_know/prefer_not/blank→missing. sleeping_outdoors at151→4 separately.</t>
  </si>
  <si>
    <t>Draft RRM codes</t>
  </si>
  <si>
    <t>Shelter issues</t>
  </si>
  <si>
    <t>NEW thermal_ventilation; NEW rain_leaks; existing insufficient_space,lack_privacy,cannot_lock,unsafe_location,none</t>
  </si>
  <si>
    <t>Replace weather_exposure</t>
  </si>
  <si>
    <t>Thermal/other listed substantive issues→2; rain_leaks→3; none→1.</t>
  </si>
  <si>
    <t>Remove old weather_exposure references. Other unresolved→partial. Unknown cannot accompany substantive answers.</t>
  </si>
  <si>
    <t>Shelter function</t>
  </si>
  <si>
    <t>NEW without_difficulty; with_difficulty; unable; dont_know; prefer_not</t>
  </si>
  <si>
    <t>Three new questions</t>
  </si>
  <si>
    <t>Map1,2,3,missing,missing.</t>
  </si>
  <si>
    <t>Same list across cooking,sleeping,storage. Codes proposed; align with final form.</t>
  </si>
  <si>
    <t>Proposed codes</t>
  </si>
  <si>
    <t>Handwashing status</t>
  </si>
  <si>
    <t>NEW both; water_only; soap_only; neither; no_place; dont_know; prefer_not</t>
  </si>
  <si>
    <t>Single replacement for169</t>
  </si>
  <si>
    <t>both→basic/level1; water_only,soap_only,neither→limited/level2; no_place→no_facility/level2.</t>
  </si>
  <si>
    <t>These proposed codes require on-premises usual handwashing-place wording; status alone cannot retain observation provenance.</t>
  </si>
  <si>
    <t>Proposed codes / draft mapping</t>
  </si>
  <si>
    <t>Handwashing evidence</t>
  </si>
  <si>
    <t>NEW observed; reported_only; not_verified</t>
  </si>
  <si>
    <t>Separate provenance field</t>
  </si>
  <si>
    <t>Observed/reported-only retained; not_verified makes service unclassified.</t>
  </si>
  <si>
    <t>Keep reported-only category visible and test sensitivity; observations never mandatory when inappropriate.</t>
  </si>
  <si>
    <t>Health current/impact</t>
  </si>
  <si>
    <t>NEW no_limitation; some_limitation; unable_usual_activities; dk; pna</t>
  </si>
  <si>
    <t>Current unmet-care branch</t>
  </si>
  <si>
    <t>Map2,3,4,missing,missing. Current=yes with missing impact→observed floor2 only.</t>
  </si>
  <si>
    <t>Keep current-unmet yes/no separate; no current unmet→level1. Unknown current status→unclassified.</t>
  </si>
  <si>
    <t>S7</t>
  </si>
  <si>
    <t>HHS frequencies</t>
  </si>
  <si>
    <t>NEW rarely; sometimes; often; dont_know; prefer_not</t>
  </si>
  <si>
    <t>Each yes occurrence</t>
  </si>
  <si>
    <t>Rarely/sometimes1; often2; unknown/refusal missing.</t>
  </si>
  <si>
    <t>Occurrence=no explicitly recodes0; do not use missing frequency as0 after yes.</t>
  </si>
  <si>
    <t>Native recode; proposed codes</t>
  </si>
  <si>
    <t>Unknown/refusal normalisation</t>
  </si>
  <si>
    <t>dont_know, don_t_know, dk; prefer_not, prefer_not_to_answer,pna</t>
  </si>
  <si>
    <t>Codes vary by existing list</t>
  </si>
  <si>
    <t>Normalise to analysis unknown/refused, retaining raw code. Numeric blanks→missing.</t>
  </si>
  <si>
    <t>Do not globally rename choice codes without updating all expressions and external data mappings.</t>
  </si>
  <si>
    <t>Cleaning rule</t>
  </si>
  <si>
    <t>Source XLSForm</t>
  </si>
  <si>
    <t>Decisions to agree and source register</t>
  </si>
  <si>
    <t>What is ready</t>
  </si>
  <si>
    <t>Native indicators can be implemented; all RRM level mappings remain draft. Yellow cells are editable decisions. Row 173 and treatment/amount removals are assumed agreed.</t>
  </si>
  <si>
    <t>Decision</t>
  </si>
  <si>
    <t>Draft proposal</t>
  </si>
  <si>
    <t>What needs agreement</t>
  </si>
  <si>
    <t>Reviewer</t>
  </si>
  <si>
    <t>Agreed rule / date</t>
  </si>
  <si>
    <t>D01 Common scale</t>
  </si>
  <si>
    <t>Levels1–4; high≥3; very high=4</t>
  </si>
  <si>
    <t>Confirm shared definitions and high-need/very-high thresholds. Preserve native indicators; avoid claiming official sector classifications.</t>
  </si>
  <si>
    <t>Chiara / Jubilio + sector colleagues</t>
  </si>
  <si>
    <t>Pending</t>
  </si>
  <si>
    <t>D02 FCS cutoffs</t>
  </si>
  <si>
    <t>Draft21/35; adjusted28/42 available</t>
  </si>
  <si>
    <t>Confirm context threshold set with FSL colleagues. Validate training on food groups and small condiment quantities.</t>
  </si>
  <si>
    <t>FSL / Jubilio</t>
  </si>
  <si>
    <t>D03 Food mapping</t>
  </si>
  <si>
    <t>Poor FCS→3; HHS2–3→3; HHS4–6→4</t>
  </si>
  <si>
    <t>Review HHS1 treatment (draft1) and use of max rather than CARI. Check discordant FCS/HHS without automatically rejecting plausible cases.</t>
  </si>
  <si>
    <t>FSL / Chiara</t>
  </si>
  <si>
    <t>D04 Shelter mapping</t>
  </si>
  <si>
    <t>Condition4; rain failure3; unable function3</t>
  </si>
  <si>
    <t>Review ordinal levels and ensure function wording isolates shelter-related causes. No tenure/crowding score: those extra inputs were omitted from final review.</t>
  </si>
  <si>
    <t>Shelter / Issufo</t>
  </si>
  <si>
    <t>D05 WASH shortage bands</t>
  </si>
  <si>
    <t>0→1;1–2→2;3–5→3;6–7→4</t>
  </si>
  <si>
    <t>Agree frequency bands. Compare high-need cutoffs≥1,≥3,≥4 days and resulting profile associations. Days insufficient do not measure survival threat.</t>
  </si>
  <si>
    <t>WASH / Jubilio</t>
  </si>
  <si>
    <t>D06 WASH service mapping</t>
  </si>
  <si>
    <t>Surface/open defecation→3; unimproved/limited→2</t>
  </si>
  <si>
    <t>Confirm service-to-severity mapping. Review facility types, reported-only handwashing and local meanings of Other.</t>
  </si>
  <si>
    <t>WASH / Issufo</t>
  </si>
  <si>
    <t>D07 Health proxy</t>
  </si>
  <si>
    <t>Current unmet+some limitation→3;unable→4</t>
  </si>
  <si>
    <t>Health colleagues review relevance to needs-based targeting, wording and limitations. No-care/all-care branches cover reported care-access gaps, not clinical health status.</t>
  </si>
  <si>
    <t>Health / Chiara</t>
  </si>
  <si>
    <t>D08 LCS classes</t>
  </si>
  <si>
    <t>4 stress;3 crisis;3 emergency proposed below</t>
  </si>
  <si>
    <t>Confirm strategy definitions and category assignments, including combined begging/scavenging and exploitative/high-risk work. Exhaustion must match12-month window.</t>
  </si>
  <si>
    <t>D09 Missingness and reporting</t>
  </si>
  <si>
    <t>Positive evidence counted; negative needs full core</t>
  </si>
  <si>
    <t>Agree tri-state high flags, bounds, primary complete-outcome tables and sensitive handling of unknowns. Do not rank partial records as low.</t>
  </si>
  <si>
    <t>Jubilio / Chiara</t>
  </si>
  <si>
    <t>D10 Registry and dedup</t>
  </si>
  <si>
    <t>HH ID distinct from submission ID</t>
  </si>
  <si>
    <t>Agree partner IDs, overlap handling and baseline record-selection rule. No name-only or phone-only automatic deduplication.</t>
  </si>
  <si>
    <t>Jubilio / partners</t>
  </si>
  <si>
    <t>D11 Profile comparisons</t>
  </si>
  <si>
    <t>Separate census/IDP and host sample</t>
  </si>
  <si>
    <t>Confirm sample design, coverage and weights. Review common alert/location/time strata and viable group sizes.</t>
  </si>
  <si>
    <t>D12 Release verification</t>
  </si>
  <si>
    <t>Test boundaries + timed pilot</t>
  </si>
  <si>
    <t>Test revised modes, refusals, structural skips, max/flags/bounds and export against independent calculations. Pilot longest branches close to30min.</t>
  </si>
  <si>
    <t>Jubilio / Issufo</t>
  </si>
  <si>
    <t>Proposed LCS-EN strategy classes — confirm before coding</t>
  </si>
  <si>
    <t>Source field</t>
  </si>
  <si>
    <t>Strategy</t>
  </si>
  <si>
    <t>Proposed class</t>
  </si>
  <si>
    <t>Code</t>
  </si>
  <si>
    <t>Definition check</t>
  </si>
  <si>
    <t>Agreed class</t>
  </si>
  <si>
    <t>124 lcsen_sell_assets</t>
  </si>
  <si>
    <t>Sell household goods</t>
  </si>
  <si>
    <t>Stress</t>
  </si>
  <si>
    <t>2</t>
  </si>
  <si>
    <t>Confirm non-productive goods</t>
  </si>
  <si>
    <t>125 lcsen_spend_savings</t>
  </si>
  <si>
    <t>Spend savings</t>
  </si>
  <si>
    <t>Retain exhaustion handling</t>
  </si>
  <si>
    <t>126 lcsen_borrow</t>
  </si>
  <si>
    <t>Borrow money</t>
  </si>
  <si>
    <t>Confirm livelihood/essential-needs wording</t>
  </si>
  <si>
    <t>127 lcsen_eat_elsewhere</t>
  </si>
  <si>
    <t>Send members to eat elsewhere</t>
  </si>
  <si>
    <t>Confirm local strategy meaning</t>
  </si>
  <si>
    <t>128 lcsen_sell_productive</t>
  </si>
  <si>
    <t>Sell productive assets/transport</t>
  </si>
  <si>
    <t>Crisis</t>
  </si>
  <si>
    <t>3</t>
  </si>
  <si>
    <t>Distinguish household goods</t>
  </si>
  <si>
    <t>129 lcsen_reduce_health</t>
  </si>
  <si>
    <t>Reduce essential health spending</t>
  </si>
  <si>
    <t>Cross-sector coping, no automatic food score</t>
  </si>
  <si>
    <t>130 lcsen_withdraw_school</t>
  </si>
  <si>
    <t>Withdraw children from school</t>
  </si>
  <si>
    <t>Education flag retained separately</t>
  </si>
  <si>
    <t>131 lcsen_sell_house_land</t>
  </si>
  <si>
    <t>Sell/mortgage main house or land</t>
  </si>
  <si>
    <t>Emergency</t>
  </si>
  <si>
    <t>4</t>
  </si>
  <si>
    <t>Review main-home wording locally</t>
  </si>
  <si>
    <t>132 lcsen_beg_scavenge</t>
  </si>
  <si>
    <t>Beg/scavenge for resources</t>
  </si>
  <si>
    <t>Combined wording needs FSL confirmation</t>
  </si>
  <si>
    <t>133 lcsen_high_risk_work</t>
  </si>
  <si>
    <t>Exploitative/dangerous work</t>
  </si>
  <si>
    <t>Do not elicit personal incident details</t>
  </si>
  <si>
    <t>Source register — native rules versus RRM adaptations</t>
  </si>
  <si>
    <t>ID</t>
  </si>
  <si>
    <t>Reference</t>
  </si>
  <si>
    <t>Section / rule</t>
  </si>
  <si>
    <t>URL or use</t>
  </si>
  <si>
    <t>Source status</t>
  </si>
  <si>
    <t>Limit / distinction</t>
  </si>
  <si>
    <t>GSC SSC Implementation Guidelines; supplied calculation tool</t>
  </si>
  <si>
    <t>Pages9,17; MSNA Questionnaire, Analysis grid, Decision-tree</t>
  </si>
  <si>
    <t>Shelter dimensions/functions inform core; proposed max and four-level thresholds are RRM adaptations.</t>
  </si>
  <si>
    <t>Supplied files</t>
  </si>
  <si>
    <t>Full SSC needs all core dimensions. Final short tool has no tenure risk, measured crowding, electricity or full hygiene module.</t>
  </si>
  <si>
    <t>WFP FCS; FSL Indicator Handbook</t>
  </si>
  <si>
    <t>Handbook p42; WFP native frequencies/weights/cutoffs</t>
  </si>
  <si>
    <t>https://vamresources.manuals.wfp.org/docs/food-consumption-score</t>
  </si>
  <si>
    <t>Checked2Oct2026</t>
  </si>
  <si>
    <t>Native FCS calculation and21/35 vs28/42 sets. RRM level mapping proposed here.</t>
  </si>
  <si>
    <t>WFP Household Hunger Scale script; FSL Handbook</t>
  </si>
  <si>
    <t>Handbook p46; WFP script native0–6 and three categories</t>
  </si>
  <si>
    <t>https://github.com/WFP-VAM/RAMResourcesScripts/blob/main/Indicators/Household-hunger-scale/Household-Hunger-Scale.sps</t>
  </si>
  <si>
    <t>Apply missingness guards rather than recoding unknown into0. HHS alone does not classify IPC phases.</t>
  </si>
  <si>
    <t>WHO/UNICEF JMP drinking water; supplied WIA Methods</t>
  </si>
  <si>
    <t>JMP service ladder; WIA2025 pp19–21</t>
  </si>
  <si>
    <t>https://washdata.org/topics/drinking-water</t>
  </si>
  <si>
    <t>JMP definitions are native; shortage-day bands and household severity mapping are proposed. WIA area framework is not copied.</t>
  </si>
  <si>
    <t>WHO/UNICEF JMP sanitation</t>
  </si>
  <si>
    <t>Service ladder and improved/unimproved facility types</t>
  </si>
  <si>
    <t>https://washdata.org/topics/sanitation</t>
  </si>
  <si>
    <t>Improved shared=limited. Safely managed cannot be calculated. Classification of Other/ambiguous composting requires review.</t>
  </si>
  <si>
    <t>WHO/UNICEF JMP hygiene</t>
  </si>
  <si>
    <t>Handwashing place+water+soap on premises</t>
  </si>
  <si>
    <t>https://washdata.org/topics/hygiene</t>
  </si>
  <si>
    <t>Observed versus reported access retained. Service category does not prescribe a universal household severity level.</t>
  </si>
  <si>
    <t>GHC Health PiN and Severity Guidance v3.1,2024</t>
  </si>
  <si>
    <t>Supplied PDF pp28–29,35</t>
  </si>
  <si>
    <t>Household needs/access concept; original model assesses area-level severity</t>
  </si>
  <si>
    <t>Supplied PDF</t>
  </si>
  <si>
    <t>Current unmet-care/activity-impact levels are a proposed proxy requiring health review; not the GHC clinical/area score.</t>
  </si>
  <si>
    <t>WFP LCS-EN</t>
  </si>
  <si>
    <t>30-day use;12-month exhaustion; stress/crisis/emergency</t>
  </si>
  <si>
    <t>https://vamresources.manuals.wfp.org/docs/livelihood-coping-strategies-essential-needs</t>
  </si>
  <si>
    <t>Ten strategy classes are provisional pending wording/context review; coping kept separate from sector need.</t>
  </si>
  <si>
    <t>S9</t>
  </si>
  <si>
    <t>Final v2 review and source XLSForm</t>
  </si>
  <si>
    <t>Review uploaded2Oct2026; original v2 survey/choices</t>
  </si>
  <si>
    <t>MOZ_RRM_Unified_Tool_v2_Review_and_Recommendations(1).docx; MOZ_RRM_Unified_Household_v2(1).xlsx</t>
  </si>
  <si>
    <t>User supplied</t>
  </si>
  <si>
    <t>Row173 removal now assumed. Final WASH deletion overrides earlier ToT treatment-option edits. No household data supplied.</t>
  </si>
  <si>
    <t>S10</t>
  </si>
  <si>
    <t>Other supplied sector/context guidance</t>
  </si>
  <si>
    <t>CARI2021; FES2024; WSC2021 review; INFORM August2026</t>
  </si>
  <si>
    <t>Use for scope/limitations; no direct household classification imported</t>
  </si>
  <si>
    <t>No CARI,FES,ECMEN,area WSC/INFORM or automatic vulnerability/eligibility score calculated.</t>
  </si>
  <si>
    <t>Editable coding examples — synthetic households</t>
  </si>
  <si>
    <t>Scope</t>
  </si>
  <si>
    <t>Examples test native FCS/HHS and concurrence logic. They are not household data or an implemented Kobo scorer. Draft mappings remain subject to agreement. Yellow cells are editable inputs.</t>
  </si>
  <si>
    <t>Draft controls</t>
  </si>
  <si>
    <t>Value</t>
  </si>
  <si>
    <t>Alternative</t>
  </si>
  <si>
    <t>FCS poor cutoff</t>
  </si>
  <si>
    <t>D02</t>
  </si>
  <si>
    <t>FCS borderline cutoff</t>
  </si>
  <si>
    <t>High-need threshold</t>
  </si>
  <si>
    <t>D01</t>
  </si>
  <si>
    <t>Food Consumption Score — all eight frequencies required</t>
  </si>
  <si>
    <t>Example</t>
  </si>
  <si>
    <t>Cereals</t>
  </si>
  <si>
    <t>Pulses</t>
  </si>
  <si>
    <t>Vegetables</t>
  </si>
  <si>
    <t>Fruit</t>
  </si>
  <si>
    <t>Meat/fish/eggs</t>
  </si>
  <si>
    <t>Milk</t>
  </si>
  <si>
    <t>Sugar</t>
  </si>
  <si>
    <t>Oil</t>
  </si>
  <si>
    <t>Complete valid</t>
  </si>
  <si>
    <t>FCS</t>
  </si>
  <si>
    <t>Native category</t>
  </si>
  <si>
    <t>Draft food component</t>
  </si>
  <si>
    <t>Meaning</t>
  </si>
  <si>
    <t>All daily</t>
  </si>
  <si>
    <t>Maximum112</t>
  </si>
  <si>
    <t>Poor boundary</t>
  </si>
  <si>
    <t>21 with default cutoffs</t>
  </si>
  <si>
    <t>Borderline boundary</t>
  </si>
  <si>
    <t>35 with default cutoffs</t>
  </si>
  <si>
    <t>Just above poor</t>
  </si>
  <si>
    <t>21.5 with default cutoffs</t>
  </si>
  <si>
    <t>Missing oil</t>
  </si>
  <si>
    <t>Score must remain blank</t>
  </si>
  <si>
    <t>Real zeros</t>
  </si>
  <si>
    <t>Zero is a valid FCS</t>
  </si>
  <si>
    <t>Invalid frequency</t>
  </si>
  <si>
    <t>Invalid:8 days; no score</t>
  </si>
  <si>
    <t>HHS — no=0; yes requires a valid frequency</t>
  </si>
  <si>
    <t>No food</t>
  </si>
  <si>
    <t>Frequency1</t>
  </si>
  <si>
    <t>Bed hungry</t>
  </si>
  <si>
    <t>Frequency2</t>
  </si>
  <si>
    <t>Day/night</t>
  </si>
  <si>
    <t>Frequency3</t>
  </si>
  <si>
    <t>Item1</t>
  </si>
  <si>
    <t>Item2</t>
  </si>
  <si>
    <t>Item3</t>
  </si>
  <si>
    <t>HHS</t>
  </si>
  <si>
    <t>Category</t>
  </si>
  <si>
    <t>Draft component</t>
  </si>
  <si>
    <t>No hunger</t>
  </si>
  <si>
    <t>no</t>
  </si>
  <si>
    <t>0; skipped frequencies valid</t>
  </si>
  <si>
    <t>Moderate</t>
  </si>
  <si>
    <t>yes</t>
  </si>
  <si>
    <t>rarely</t>
  </si>
  <si>
    <t>sometimes</t>
  </si>
  <si>
    <t>2; moderate hunger</t>
  </si>
  <si>
    <t>Severe</t>
  </si>
  <si>
    <t>often</t>
  </si>
  <si>
    <t>4; severe hunger</t>
  </si>
  <si>
    <t>Extreme review</t>
  </si>
  <si>
    <t>5; triangulate/DQ follow-up</t>
  </si>
  <si>
    <t>Missing frequency</t>
  </si>
  <si>
    <t>Native score blank</t>
  </si>
  <si>
    <t>Unknown occurrence</t>
  </si>
  <si>
    <t>unknown</t>
  </si>
  <si>
    <t>Concurrence — use threshold-resolved flags, not partial maximum alone</t>
  </si>
  <si>
    <t>Food level</t>
  </si>
  <si>
    <t>Shelter level</t>
  </si>
  <si>
    <t>WASH level</t>
  </si>
  <si>
    <t>Health level</t>
  </si>
  <si>
    <t>High Food</t>
  </si>
  <si>
    <t>High Shelter</t>
  </si>
  <si>
    <t>High WASH</t>
  </si>
  <si>
    <t>High Health</t>
  </si>
  <si>
    <t>Flags known</t>
  </si>
  <si>
    <t>Count lower</t>
  </si>
  <si>
    <t>Count upper</t>
  </si>
  <si>
    <t>Exact count</t>
  </si>
  <si>
    <t>Three high sectors</t>
  </si>
  <si>
    <t>Exact3 high sectors</t>
  </si>
  <si>
    <t>No high observed</t>
  </si>
  <si>
    <t>Exact0 high sectors</t>
  </si>
  <si>
    <t>Missing health</t>
  </si>
  <si>
    <t>Bounds2–3, exact unknown</t>
  </si>
  <si>
    <t>High+3 unknown</t>
  </si>
  <si>
    <t>Bounds1–4, exact unknown</t>
  </si>
  <si>
    <t>All unknown</t>
  </si>
  <si>
    <t>Bounds0–4; no exact score</t>
  </si>
  <si>
    <t>Partial low WASH</t>
  </si>
  <si>
    <t>Bounds1–2; WASH unresolved</t>
  </si>
  <si>
    <t>Input convention</t>
  </si>
  <si>
    <t>A numerical level here means its ≥3 threshold is resolved (complete evidence or a positive high trigger). Enter blank for partial levels1–2: their high-need status is unknown. Do not enter partial-low maxima as negatives.</t>
  </si>
  <si>
    <t>Other checks to implement</t>
  </si>
  <si>
    <t>Shelter: outdoor+missing condition; WASH:30vs31 minutes, shortage0/2/3/5/6/7, improved+missing sharing; Health:all/some/none, unresolved=no/yes/unknown, missing impact; registration-only must produce no baseline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</si>
</sst>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43347"/>
      <name val="Arial"/>
    </font>
    <font>
      <b/>
      <sz val="15"/>
      <color rgb="FF132B46"/>
      <name val="Arial"/>
    </font>
    <font>
      <b/>
      <sz val="10"/>
      <color rgb="FF243347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03B58"/>
      </patternFill>
    </fill>
    <fill>
      <patternFill patternType="solid">
        <fgColor rgb="FFFFFFFF"/>
      </patternFill>
    </fill>
    <fill>
      <patternFill patternType="solid">
        <fgColor rgb="FFF1F5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B9B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torRules" displayName="SectorRules" ref="A14:H31" totalsRowShown="0">
  <autoFilter ref="A14:H31" xr:uid="{00000000-0009-0000-0100-000001000000}"/>
  <tableColumns count="8">
    <tableColumn id="1" xr3:uid="{00000000-0010-0000-0000-000001000000}" name="Measure"/>
    <tableColumn id="2" xr3:uid="{00000000-0010-0000-0000-000002000000}" name="Source in revised tool"/>
    <tableColumn id="3" xr3:uid="{00000000-0010-0000-0000-000003000000}" name="Level 1"/>
    <tableColumn id="4" xr3:uid="{00000000-0010-0000-0000-000004000000}" name="Level 2"/>
    <tableColumn id="5" xr3:uid="{00000000-0010-0000-0000-000005000000}" name="Level 3"/>
    <tableColumn id="6" xr3:uid="{00000000-0010-0000-0000-000006000000}" name="Level 4"/>
    <tableColumn id="7" xr3:uid="{00000000-0010-0000-0000-000007000000}" name="Missing data and aggregation"/>
    <tableColumn id="8" xr3:uid="{00000000-0010-0000-0000-000008000000}" name="Basis / source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catorDefinitions" displayName="IndicatorDefinitions" ref="A9:G40" totalsRowShown="0">
  <autoFilter ref="A9:G40" xr:uid="{00000000-0009-0000-0100-000002000000}"/>
  <tableColumns count="7">
    <tableColumn id="1" xr3:uid="{00000000-0010-0000-0100-000001000000}" name="Derived field"/>
    <tableColumn id="2" xr3:uid="{00000000-0010-0000-0100-000002000000}" name="Source / original row"/>
    <tableColumn id="3" xr3:uid="{00000000-0010-0000-0100-000003000000}" name="Population / recall"/>
    <tableColumn id="4" xr3:uid="{00000000-0010-0000-0100-000004000000}" name="Calculation or rule"/>
    <tableColumn id="5" xr3:uid="{00000000-0010-0000-0100-000005000000}" name="Missing / validation rule"/>
    <tableColumn id="6" xr3:uid="{00000000-0010-0000-0100-000006000000}" name="Output placement"/>
    <tableColumn id="7" xr3:uid="{00000000-0010-0000-0100-000007000000}" name="Ba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fileDefinitions" displayName="ProfileDefinitions" ref="A45:G63" totalsRowShown="0">
  <autoFilter ref="A45:G63" xr:uid="{00000000-0009-0000-0100-000003000000}"/>
  <tableColumns count="7">
    <tableColumn id="1" xr3:uid="{00000000-0010-0000-0200-000001000000}" name="Profile / output"/>
    <tableColumn id="2" xr3:uid="{00000000-0010-0000-0200-000002000000}" name="Source / original row"/>
    <tableColumn id="3" xr3:uid="{00000000-0010-0000-0200-000003000000}" name="Population / scope"/>
    <tableColumn id="4" xr3:uid="{00000000-0010-0000-0200-000004000000}" name="Derivation or analysis"/>
    <tableColumn id="5" xr3:uid="{00000000-0010-0000-0200-000005000000}" name="Missing / interpretation"/>
    <tableColumn id="6" xr3:uid="{00000000-0010-0000-0200-000006000000}" name="Use"/>
    <tableColumn id="7" xr3:uid="{00000000-0010-0000-0200-000007000000}" name="Ba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oiceMappings" displayName="ChoiceMappings" ref="A68:G85" totalsRowShown="0">
  <autoFilter ref="A68:G85" xr:uid="{00000000-0009-0000-0100-000004000000}"/>
  <tableColumns count="7">
    <tableColumn id="1" xr3:uid="{00000000-0010-0000-0300-000001000000}" name="Field / list"/>
    <tableColumn id="2" xr3:uid="{00000000-0010-0000-0300-000002000000}" name="Choice codes"/>
    <tableColumn id="3" xr3:uid="{00000000-0010-0000-0300-000003000000}" name="Meaning / scope"/>
    <tableColumn id="4" xr3:uid="{00000000-0010-0000-0300-000004000000}" name="Analysis mapping"/>
    <tableColumn id="5" xr3:uid="{00000000-0010-0000-0300-000005000000}" name="Implementation / missing rule"/>
    <tableColumn id="6" xr3:uid="{00000000-0010-0000-0300-000006000000}" name="Status"/>
    <tableColumn id="7" xr3:uid="{00000000-0010-0000-0300-000007000000}" name="Ba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Decisions" displayName="Decisions" ref="A8:F20" totalsRowShown="0">
  <autoFilter ref="A8:F20" xr:uid="{00000000-0009-0000-0100-000005000000}"/>
  <tableColumns count="6">
    <tableColumn id="1" xr3:uid="{00000000-0010-0000-0700-000001000000}" name="Decision"/>
    <tableColumn id="2" xr3:uid="{00000000-0010-0000-0700-000002000000}" name="Draft proposal"/>
    <tableColumn id="3" xr3:uid="{00000000-0010-0000-0700-000003000000}" name="What needs agreement"/>
    <tableColumn id="4" xr3:uid="{00000000-0010-0000-0700-000004000000}" name="Reviewer"/>
    <tableColumn id="5" xr3:uid="{00000000-0010-0000-0700-000005000000}" name="Status"/>
    <tableColumn id="6" xr3:uid="{00000000-0010-0000-0700-000006000000}" name="Agreed rule / 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LCSMapping" displayName="LCSMapping" ref="A25:F35" totalsRowShown="0">
  <autoFilter ref="A25:F35" xr:uid="{00000000-0009-0000-0100-000006000000}"/>
  <tableColumns count="6">
    <tableColumn id="1" xr3:uid="{00000000-0010-0000-0800-000001000000}" name="Source field"/>
    <tableColumn id="2" xr3:uid="{00000000-0010-0000-0800-000002000000}" name="Strategy"/>
    <tableColumn id="3" xr3:uid="{00000000-0010-0000-0800-000003000000}" name="Proposed class"/>
    <tableColumn id="4" xr3:uid="{00000000-0010-0000-0800-000004000000}" name="Code"/>
    <tableColumn id="5" xr3:uid="{00000000-0010-0000-0800-000005000000}" name="Definition check"/>
    <tableColumn id="6" xr3:uid="{00000000-0010-0000-0800-000006000000}" name="Agreed cla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Sources" displayName="Sources" ref="A40:F50" totalsRowShown="0">
  <autoFilter ref="A40:F50" xr:uid="{00000000-0009-0000-0100-000007000000}"/>
  <tableColumns count="6">
    <tableColumn id="1" xr3:uid="{00000000-0010-0000-0900-000001000000}" name="ID"/>
    <tableColumn id="2" xr3:uid="{00000000-0010-0000-0900-000002000000}" name="Reference"/>
    <tableColumn id="3" xr3:uid="{00000000-0010-0000-0900-000003000000}" name="Section / rule"/>
    <tableColumn id="4" xr3:uid="{00000000-0010-0000-0900-000004000000}" name="URL or use"/>
    <tableColumn id="5" xr3:uid="{00000000-0010-0000-0900-000005000000}" name="Source status"/>
    <tableColumn id="6" xr3:uid="{00000000-0010-0000-0900-000006000000}" name="Limit / distin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FCSExamples" displayName="FCSExamples" ref="A14:N21" totalsRowShown="0">
  <autoFilter ref="A14:N21" xr:uid="{00000000-0009-0000-0100-000008000000}"/>
  <tableColumns count="14">
    <tableColumn id="1" xr3:uid="{00000000-0010-0000-0400-000001000000}" name="Example"/>
    <tableColumn id="2" xr3:uid="{00000000-0010-0000-0400-000002000000}" name="Cereals"/>
    <tableColumn id="3" xr3:uid="{00000000-0010-0000-0400-000003000000}" name="Pulses"/>
    <tableColumn id="4" xr3:uid="{00000000-0010-0000-0400-000004000000}" name="Vegetables"/>
    <tableColumn id="5" xr3:uid="{00000000-0010-0000-0400-000005000000}" name="Fruit"/>
    <tableColumn id="6" xr3:uid="{00000000-0010-0000-0400-000006000000}" name="Meat/fish/eggs"/>
    <tableColumn id="7" xr3:uid="{00000000-0010-0000-0400-000007000000}" name="Milk"/>
    <tableColumn id="8" xr3:uid="{00000000-0010-0000-0400-000008000000}" name="Sugar"/>
    <tableColumn id="9" xr3:uid="{00000000-0010-0000-0400-000009000000}" name="Oil"/>
    <tableColumn id="10" xr3:uid="{00000000-0010-0000-0400-00000A000000}" name="Complete valid"/>
    <tableColumn id="11" xr3:uid="{00000000-0010-0000-0400-00000B000000}" name="FCS"/>
    <tableColumn id="12" xr3:uid="{00000000-0010-0000-0400-00000C000000}" name="Native category"/>
    <tableColumn id="13" xr3:uid="{00000000-0010-0000-0400-00000D000000}" name="Draft food component"/>
    <tableColumn id="14" xr3:uid="{00000000-0010-0000-0400-00000E000000}" name="Mean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HHSExamples" displayName="HHSExamples" ref="A25:N31" totalsRowShown="0">
  <autoFilter ref="A25:N31" xr:uid="{00000000-0009-0000-0100-000009000000}"/>
  <tableColumns count="14">
    <tableColumn id="1" xr3:uid="{00000000-0010-0000-0500-000001000000}" name="Example"/>
    <tableColumn id="2" xr3:uid="{00000000-0010-0000-0500-000002000000}" name="No food"/>
    <tableColumn id="3" xr3:uid="{00000000-0010-0000-0500-000003000000}" name="Frequency1"/>
    <tableColumn id="4" xr3:uid="{00000000-0010-0000-0500-000004000000}" name="Bed hungry"/>
    <tableColumn id="5" xr3:uid="{00000000-0010-0000-0500-000005000000}" name="Frequency2"/>
    <tableColumn id="6" xr3:uid="{00000000-0010-0000-0500-000006000000}" name="Day/night"/>
    <tableColumn id="7" xr3:uid="{00000000-0010-0000-0500-000007000000}" name="Frequency3"/>
    <tableColumn id="8" xr3:uid="{00000000-0010-0000-0500-000008000000}" name="Item1"/>
    <tableColumn id="9" xr3:uid="{00000000-0010-0000-0500-000009000000}" name="Item2"/>
    <tableColumn id="10" xr3:uid="{00000000-0010-0000-0500-00000A000000}" name="Item3"/>
    <tableColumn id="11" xr3:uid="{00000000-0010-0000-0500-00000B000000}" name="HHS"/>
    <tableColumn id="12" xr3:uid="{00000000-0010-0000-0500-00000C000000}" name="Category"/>
    <tableColumn id="13" xr3:uid="{00000000-0010-0000-0500-00000D000000}" name="Draft component"/>
    <tableColumn id="14" xr3:uid="{00000000-0010-0000-0500-00000E000000}" name="Mean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ConcurrenceExamples" displayName="ConcurrenceExamples" ref="A35:N41" totalsRowShown="0">
  <autoFilter ref="A35:N41" xr:uid="{00000000-0009-0000-0100-00000A000000}"/>
  <tableColumns count="14">
    <tableColumn id="1" xr3:uid="{00000000-0010-0000-0600-000001000000}" name="Example"/>
    <tableColumn id="2" xr3:uid="{00000000-0010-0000-0600-000002000000}" name="Food level"/>
    <tableColumn id="3" xr3:uid="{00000000-0010-0000-0600-000003000000}" name="Shelter level"/>
    <tableColumn id="4" xr3:uid="{00000000-0010-0000-0600-000004000000}" name="WASH level"/>
    <tableColumn id="5" xr3:uid="{00000000-0010-0000-0600-000005000000}" name="Health level"/>
    <tableColumn id="6" xr3:uid="{00000000-0010-0000-0600-000006000000}" name="High Food"/>
    <tableColumn id="7" xr3:uid="{00000000-0010-0000-0600-000007000000}" name="High Shelter"/>
    <tableColumn id="8" xr3:uid="{00000000-0010-0000-0600-000008000000}" name="High WASH"/>
    <tableColumn id="9" xr3:uid="{00000000-0010-0000-0600-000009000000}" name="High Health"/>
    <tableColumn id="10" xr3:uid="{00000000-0010-0000-0600-00000A000000}" name="Flags known"/>
    <tableColumn id="11" xr3:uid="{00000000-0010-0000-0600-00000B000000}" name="Count lower"/>
    <tableColumn id="12" xr3:uid="{00000000-0010-0000-0600-00000C000000}" name="Count upper"/>
    <tableColumn id="13" xr3:uid="{00000000-0010-0000-0600-00000D000000}" name="Exact count"/>
    <tableColumn id="14" xr3:uid="{00000000-0010-0000-0600-00000E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58"/>
  </sheetPr>
  <dimension ref="A1:H150"/>
  <sheetViews>
    <sheetView showGridLines="0" workbookViewId="0">
      <pane xSplit="1" ySplit="14" topLeftCell="B20" activePane="bottomRight" state="frozen"/>
      <selection pane="bottomRight" activeCell="B8" sqref="B8:H8"/>
      <selection pane="bottomLeft"/>
      <selection pane="topRight"/>
    </sheetView>
  </sheetViews>
  <sheetFormatPr defaultRowHeight="14.1"/>
  <cols>
    <col min="1" max="1" width="25" customWidth="1"/>
    <col min="2" max="2" width="33" customWidth="1"/>
    <col min="3" max="3" width="31" customWidth="1"/>
    <col min="4" max="5" width="27" customWidth="1"/>
    <col min="6" max="6" width="31" customWidth="1"/>
    <col min="7" max="7" width="43" customWidth="1"/>
    <col min="8" max="8" width="24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8.95">
      <c r="A2" s="2" t="s">
        <v>0</v>
      </c>
      <c r="B2" s="1"/>
      <c r="C2" s="1"/>
      <c r="D2" s="1"/>
      <c r="E2" s="1"/>
      <c r="F2" s="1"/>
      <c r="G2" s="1"/>
      <c r="H2" s="1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"/>
      <c r="B4" s="1"/>
      <c r="C4" s="1"/>
      <c r="D4" s="1"/>
      <c r="E4" s="1"/>
      <c r="F4" s="1"/>
      <c r="G4" s="1"/>
      <c r="H4" s="1"/>
    </row>
    <row r="5" spans="1:8" ht="36" customHeight="1">
      <c r="A5" s="5" t="s">
        <v>1</v>
      </c>
      <c r="B5" s="11" t="s">
        <v>2</v>
      </c>
      <c r="C5" s="11"/>
      <c r="D5" s="11"/>
      <c r="E5" s="11"/>
      <c r="F5" s="11"/>
      <c r="G5" s="11"/>
      <c r="H5" s="11"/>
    </row>
    <row r="6" spans="1:8" ht="36" customHeight="1">
      <c r="A6" s="5" t="s">
        <v>3</v>
      </c>
      <c r="B6" s="11" t="s">
        <v>4</v>
      </c>
      <c r="C6" s="11"/>
      <c r="D6" s="11"/>
      <c r="E6" s="11"/>
      <c r="F6" s="11"/>
      <c r="G6" s="11"/>
      <c r="H6" s="11"/>
    </row>
    <row r="7" spans="1:8" ht="36" customHeight="1">
      <c r="A7" s="5" t="s">
        <v>5</v>
      </c>
      <c r="B7" s="11" t="s">
        <v>6</v>
      </c>
      <c r="C7" s="11"/>
      <c r="D7" s="11"/>
      <c r="E7" s="11"/>
      <c r="F7" s="11"/>
      <c r="G7" s="11"/>
      <c r="H7" s="11"/>
    </row>
    <row r="8" spans="1:8" ht="36" customHeight="1">
      <c r="A8" s="5" t="s">
        <v>7</v>
      </c>
      <c r="B8" s="11" t="s">
        <v>8</v>
      </c>
      <c r="C8" s="11"/>
      <c r="D8" s="11"/>
      <c r="E8" s="11"/>
      <c r="F8" s="11"/>
      <c r="G8" s="11"/>
      <c r="H8" s="11"/>
    </row>
    <row r="9" spans="1:8" ht="36" customHeight="1">
      <c r="A9" s="5" t="s">
        <v>9</v>
      </c>
      <c r="B9" s="11" t="s">
        <v>10</v>
      </c>
      <c r="C9" s="11"/>
      <c r="D9" s="11"/>
      <c r="E9" s="11"/>
      <c r="F9" s="11"/>
      <c r="G9" s="11"/>
      <c r="H9" s="11"/>
    </row>
    <row r="10" spans="1:8" ht="36" customHeight="1">
      <c r="A10" s="5" t="s">
        <v>11</v>
      </c>
      <c r="B10" s="11" t="s">
        <v>12</v>
      </c>
      <c r="C10" s="11"/>
      <c r="D10" s="11"/>
      <c r="E10" s="11"/>
      <c r="F10" s="11"/>
      <c r="G10" s="11"/>
      <c r="H10" s="11"/>
    </row>
    <row r="11" spans="1:8" ht="36" customHeight="1">
      <c r="A11" s="5" t="s">
        <v>13</v>
      </c>
      <c r="B11" s="11" t="s">
        <v>14</v>
      </c>
      <c r="C11" s="11"/>
      <c r="D11" s="11"/>
      <c r="E11" s="11"/>
      <c r="F11" s="11"/>
      <c r="G11" s="11"/>
      <c r="H11" s="1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32.1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</row>
    <row r="15" spans="1:8" ht="68.099999999999994" customHeight="1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  <c r="F15" s="7" t="s">
        <v>28</v>
      </c>
      <c r="G15" s="7" t="s">
        <v>29</v>
      </c>
      <c r="H15" s="7" t="s">
        <v>30</v>
      </c>
    </row>
    <row r="16" spans="1:8" ht="68.099999999999994" customHeight="1">
      <c r="A16" s="8" t="s">
        <v>31</v>
      </c>
      <c r="B16" s="8" t="s">
        <v>32</v>
      </c>
      <c r="C16" s="8" t="s">
        <v>33</v>
      </c>
      <c r="D16" s="8" t="s">
        <v>34</v>
      </c>
      <c r="E16" s="8" t="s">
        <v>35</v>
      </c>
      <c r="F16" s="8" t="s">
        <v>36</v>
      </c>
      <c r="G16" s="8" t="s">
        <v>37</v>
      </c>
      <c r="H16" s="8" t="s">
        <v>30</v>
      </c>
    </row>
    <row r="17" spans="1:8" ht="81.95" customHeight="1">
      <c r="A17" s="7" t="s">
        <v>38</v>
      </c>
      <c r="B17" s="7" t="s">
        <v>39</v>
      </c>
      <c r="C17" s="7" t="s">
        <v>40</v>
      </c>
      <c r="D17" s="7" t="s">
        <v>41</v>
      </c>
      <c r="E17" s="7" t="s">
        <v>42</v>
      </c>
      <c r="F17" s="7" t="s">
        <v>43</v>
      </c>
      <c r="G17" s="7" t="s">
        <v>44</v>
      </c>
      <c r="H17" s="7" t="s">
        <v>30</v>
      </c>
    </row>
    <row r="18" spans="1:8" ht="81.95" customHeight="1">
      <c r="A18" s="8" t="s">
        <v>45</v>
      </c>
      <c r="B18" s="8" t="s">
        <v>46</v>
      </c>
      <c r="C18" s="8" t="s">
        <v>47</v>
      </c>
      <c r="D18" s="8" t="s">
        <v>48</v>
      </c>
      <c r="E18" s="8" t="s">
        <v>49</v>
      </c>
      <c r="F18" s="8" t="s">
        <v>50</v>
      </c>
      <c r="G18" s="8" t="s">
        <v>51</v>
      </c>
      <c r="H18" s="8" t="s">
        <v>52</v>
      </c>
    </row>
    <row r="19" spans="1:8" ht="68.099999999999994" customHeight="1">
      <c r="A19" s="7" t="s">
        <v>53</v>
      </c>
      <c r="B19" s="7" t="s">
        <v>54</v>
      </c>
      <c r="C19" s="7" t="s">
        <v>55</v>
      </c>
      <c r="D19" s="7" t="s">
        <v>56</v>
      </c>
      <c r="E19" s="7" t="s">
        <v>57</v>
      </c>
      <c r="F19" s="7" t="s">
        <v>58</v>
      </c>
      <c r="G19" s="7" t="s">
        <v>59</v>
      </c>
      <c r="H19" s="7" t="s">
        <v>60</v>
      </c>
    </row>
    <row r="20" spans="1:8" ht="81.95" customHeight="1">
      <c r="A20" s="8" t="s">
        <v>61</v>
      </c>
      <c r="B20" s="8" t="s">
        <v>62</v>
      </c>
      <c r="C20" s="8" t="s">
        <v>63</v>
      </c>
      <c r="D20" s="8" t="s">
        <v>64</v>
      </c>
      <c r="E20" s="8" t="s">
        <v>65</v>
      </c>
      <c r="F20" s="8" t="s">
        <v>66</v>
      </c>
      <c r="G20" s="8" t="s">
        <v>67</v>
      </c>
      <c r="H20" s="8" t="s">
        <v>68</v>
      </c>
    </row>
    <row r="21" spans="1:8" ht="81.95" customHeight="1">
      <c r="A21" s="7" t="s">
        <v>69</v>
      </c>
      <c r="B21" s="7" t="s">
        <v>70</v>
      </c>
      <c r="C21" s="7" t="s">
        <v>71</v>
      </c>
      <c r="D21" s="7" t="s">
        <v>72</v>
      </c>
      <c r="E21" s="7" t="s">
        <v>73</v>
      </c>
      <c r="F21" s="7" t="s">
        <v>74</v>
      </c>
      <c r="G21" s="7" t="s">
        <v>75</v>
      </c>
      <c r="H21" s="7" t="s">
        <v>76</v>
      </c>
    </row>
    <row r="22" spans="1:8" ht="81.95" customHeight="1">
      <c r="A22" s="8" t="s">
        <v>77</v>
      </c>
      <c r="B22" s="8" t="s">
        <v>78</v>
      </c>
      <c r="C22" s="8" t="s">
        <v>79</v>
      </c>
      <c r="D22" s="8" t="s">
        <v>80</v>
      </c>
      <c r="E22" s="8" t="s">
        <v>81</v>
      </c>
      <c r="F22" s="8" t="s">
        <v>82</v>
      </c>
      <c r="G22" s="8" t="s">
        <v>83</v>
      </c>
      <c r="H22" s="8" t="s">
        <v>84</v>
      </c>
    </row>
    <row r="23" spans="1:8" ht="81.95" customHeight="1">
      <c r="A23" s="7" t="s">
        <v>85</v>
      </c>
      <c r="B23" s="7" t="s">
        <v>86</v>
      </c>
      <c r="C23" s="7" t="s">
        <v>87</v>
      </c>
      <c r="D23" s="7" t="s">
        <v>88</v>
      </c>
      <c r="E23" s="7" t="s">
        <v>89</v>
      </c>
      <c r="F23" s="7" t="s">
        <v>90</v>
      </c>
      <c r="G23" s="7" t="s">
        <v>91</v>
      </c>
      <c r="H23" s="7" t="s">
        <v>92</v>
      </c>
    </row>
    <row r="24" spans="1:8" ht="81.95" customHeight="1">
      <c r="A24" s="8" t="s">
        <v>93</v>
      </c>
      <c r="B24" s="8" t="s">
        <v>94</v>
      </c>
      <c r="C24" s="8" t="s">
        <v>95</v>
      </c>
      <c r="D24" s="8" t="s">
        <v>96</v>
      </c>
      <c r="E24" s="8" t="s">
        <v>97</v>
      </c>
      <c r="F24" s="8" t="s">
        <v>98</v>
      </c>
      <c r="G24" s="8" t="s">
        <v>99</v>
      </c>
      <c r="H24" s="8" t="s">
        <v>100</v>
      </c>
    </row>
    <row r="25" spans="1:8" ht="81.95" customHeight="1">
      <c r="A25" s="7" t="s">
        <v>101</v>
      </c>
      <c r="B25" s="7" t="s">
        <v>102</v>
      </c>
      <c r="C25" s="7" t="s">
        <v>103</v>
      </c>
      <c r="D25" s="7" t="s">
        <v>104</v>
      </c>
      <c r="E25" s="7" t="s">
        <v>105</v>
      </c>
      <c r="F25" s="7" t="s">
        <v>106</v>
      </c>
      <c r="G25" s="7" t="s">
        <v>107</v>
      </c>
      <c r="H25" s="7" t="s">
        <v>108</v>
      </c>
    </row>
    <row r="26" spans="1:8" ht="68.099999999999994" customHeight="1">
      <c r="A26" s="8" t="s">
        <v>109</v>
      </c>
      <c r="B26" s="8" t="s">
        <v>110</v>
      </c>
      <c r="C26" s="8" t="s">
        <v>111</v>
      </c>
      <c r="D26" s="8" t="s">
        <v>112</v>
      </c>
      <c r="E26" s="8" t="s">
        <v>113</v>
      </c>
      <c r="F26" s="8" t="s">
        <v>114</v>
      </c>
      <c r="G26" s="8" t="s">
        <v>115</v>
      </c>
      <c r="H26" s="8" t="s">
        <v>116</v>
      </c>
    </row>
    <row r="27" spans="1:8" ht="81.95" customHeight="1">
      <c r="A27" s="7" t="s">
        <v>117</v>
      </c>
      <c r="B27" s="7" t="s">
        <v>118</v>
      </c>
      <c r="C27" s="7" t="s">
        <v>47</v>
      </c>
      <c r="D27" s="7" t="s">
        <v>48</v>
      </c>
      <c r="E27" s="7" t="s">
        <v>49</v>
      </c>
      <c r="F27" s="7" t="s">
        <v>50</v>
      </c>
      <c r="G27" s="7" t="s">
        <v>119</v>
      </c>
      <c r="H27" s="7" t="s">
        <v>120</v>
      </c>
    </row>
    <row r="28" spans="1:8" ht="96" customHeight="1">
      <c r="A28" s="8" t="s">
        <v>121</v>
      </c>
      <c r="B28" s="8" t="s">
        <v>122</v>
      </c>
      <c r="C28" s="8" t="s">
        <v>123</v>
      </c>
      <c r="D28" s="8" t="s">
        <v>124</v>
      </c>
      <c r="E28" s="8" t="s">
        <v>125</v>
      </c>
      <c r="F28" s="8" t="s">
        <v>125</v>
      </c>
      <c r="G28" s="8" t="s">
        <v>126</v>
      </c>
      <c r="H28" s="8" t="s">
        <v>127</v>
      </c>
    </row>
    <row r="29" spans="1:8" ht="96" customHeight="1">
      <c r="A29" s="7" t="s">
        <v>128</v>
      </c>
      <c r="B29" s="7" t="s">
        <v>129</v>
      </c>
      <c r="C29" s="7" t="s">
        <v>130</v>
      </c>
      <c r="D29" s="7" t="s">
        <v>131</v>
      </c>
      <c r="E29" s="7" t="s">
        <v>132</v>
      </c>
      <c r="F29" s="7" t="s">
        <v>133</v>
      </c>
      <c r="G29" s="7" t="s">
        <v>134</v>
      </c>
      <c r="H29" s="7" t="s">
        <v>135</v>
      </c>
    </row>
    <row r="30" spans="1:8" ht="81.95" customHeight="1">
      <c r="A30" s="8" t="s">
        <v>136</v>
      </c>
      <c r="B30" s="8" t="s">
        <v>137</v>
      </c>
      <c r="C30" s="8" t="s">
        <v>138</v>
      </c>
      <c r="D30" s="8" t="s">
        <v>138</v>
      </c>
      <c r="E30" s="8" t="s">
        <v>139</v>
      </c>
      <c r="F30" s="8" t="s">
        <v>140</v>
      </c>
      <c r="G30" s="8" t="s">
        <v>141</v>
      </c>
      <c r="H30" s="8" t="s">
        <v>142</v>
      </c>
    </row>
    <row r="31" spans="1:8" ht="81.95" customHeight="1">
      <c r="A31" s="7" t="s">
        <v>143</v>
      </c>
      <c r="B31" s="7" t="s">
        <v>144</v>
      </c>
      <c r="C31" s="7" t="s">
        <v>145</v>
      </c>
      <c r="D31" s="7" t="s">
        <v>145</v>
      </c>
      <c r="E31" s="7" t="s">
        <v>146</v>
      </c>
      <c r="F31" s="7" t="s">
        <v>147</v>
      </c>
      <c r="G31" s="7" t="s">
        <v>148</v>
      </c>
      <c r="H31" s="7" t="s">
        <v>142</v>
      </c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</sheetData>
  <mergeCells count="7">
    <mergeCell ref="B10:H10"/>
    <mergeCell ref="B11:H11"/>
    <mergeCell ref="B5:H5"/>
    <mergeCell ref="B6:H6"/>
    <mergeCell ref="B7:H7"/>
    <mergeCell ref="B8:H8"/>
    <mergeCell ref="B9:H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"/>
  <sheetViews>
    <sheetView showGridLines="0" workbookViewId="0">
      <pane xSplit="1" ySplit="9" topLeftCell="B10" activePane="bottomRight" state="frozen"/>
      <selection pane="bottomRight" activeCell="B55" sqref="B55"/>
      <selection pane="bottomLeft"/>
      <selection pane="topRight"/>
    </sheetView>
  </sheetViews>
  <sheetFormatPr defaultRowHeight="14.1"/>
  <cols>
    <col min="1" max="1" width="32" customWidth="1"/>
    <col min="2" max="2" width="35" customWidth="1"/>
    <col min="3" max="3" width="25" customWidth="1"/>
    <col min="4" max="4" width="53" customWidth="1"/>
    <col min="5" max="5" width="41" customWidth="1"/>
    <col min="6" max="6" width="28" customWidth="1"/>
    <col min="7" max="7" width="26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8.95">
      <c r="A2" s="2" t="s">
        <v>149</v>
      </c>
      <c r="B2" s="1"/>
      <c r="C2" s="1"/>
      <c r="D2" s="1"/>
      <c r="E2" s="1"/>
      <c r="F2" s="1"/>
      <c r="G2" s="1"/>
    </row>
    <row r="3" spans="1:7">
      <c r="A3" s="3"/>
      <c r="B3" s="3"/>
      <c r="C3" s="3"/>
      <c r="D3" s="3"/>
      <c r="E3" s="3"/>
      <c r="F3" s="3"/>
      <c r="G3" s="3"/>
    </row>
    <row r="4" spans="1:7">
      <c r="A4" s="1"/>
      <c r="B4" s="1"/>
      <c r="C4" s="1"/>
      <c r="D4" s="1"/>
      <c r="E4" s="1"/>
      <c r="F4" s="1"/>
      <c r="G4" s="1"/>
    </row>
    <row r="5" spans="1:7" ht="36" customHeight="1">
      <c r="A5" s="5" t="s">
        <v>150</v>
      </c>
      <c r="B5" s="11" t="s">
        <v>151</v>
      </c>
      <c r="C5" s="11"/>
      <c r="D5" s="11"/>
      <c r="E5" s="11"/>
      <c r="F5" s="11"/>
      <c r="G5" s="11"/>
    </row>
    <row r="6" spans="1:7" ht="36" customHeight="1">
      <c r="A6" s="5" t="s">
        <v>152</v>
      </c>
      <c r="B6" s="11" t="s">
        <v>153</v>
      </c>
      <c r="C6" s="11"/>
      <c r="D6" s="11"/>
      <c r="E6" s="11"/>
      <c r="F6" s="11"/>
      <c r="G6" s="1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 ht="32.1" customHeight="1">
      <c r="A9" s="6" t="s">
        <v>154</v>
      </c>
      <c r="B9" s="6" t="s">
        <v>155</v>
      </c>
      <c r="C9" s="6" t="s">
        <v>156</v>
      </c>
      <c r="D9" s="6" t="s">
        <v>157</v>
      </c>
      <c r="E9" s="6" t="s">
        <v>158</v>
      </c>
      <c r="F9" s="6" t="s">
        <v>159</v>
      </c>
      <c r="G9" s="6" t="s">
        <v>160</v>
      </c>
    </row>
    <row r="10" spans="1:7" ht="54" customHeight="1">
      <c r="A10" s="7" t="s">
        <v>161</v>
      </c>
      <c r="B10" s="7" t="s">
        <v>162</v>
      </c>
      <c r="C10" s="7" t="s">
        <v>163</v>
      </c>
      <c r="D10" s="7" t="s">
        <v>164</v>
      </c>
      <c r="E10" s="7" t="s">
        <v>165</v>
      </c>
      <c r="F10" s="7" t="s">
        <v>166</v>
      </c>
      <c r="G10" s="7" t="s">
        <v>167</v>
      </c>
    </row>
    <row r="11" spans="1:7" ht="54" customHeight="1">
      <c r="A11" s="8" t="s">
        <v>168</v>
      </c>
      <c r="B11" s="8" t="s">
        <v>169</v>
      </c>
      <c r="C11" s="8" t="s">
        <v>170</v>
      </c>
      <c r="D11" s="8" t="s">
        <v>171</v>
      </c>
      <c r="E11" s="8" t="s">
        <v>172</v>
      </c>
      <c r="F11" s="8" t="s">
        <v>173</v>
      </c>
      <c r="G11" s="8" t="s">
        <v>167</v>
      </c>
    </row>
    <row r="12" spans="1:7" ht="68.099999999999994" customHeight="1">
      <c r="A12" s="7" t="s">
        <v>174</v>
      </c>
      <c r="B12" s="7" t="s">
        <v>175</v>
      </c>
      <c r="C12" s="7" t="s">
        <v>176</v>
      </c>
      <c r="D12" s="7" t="s">
        <v>177</v>
      </c>
      <c r="E12" s="7" t="s">
        <v>178</v>
      </c>
      <c r="F12" s="7" t="s">
        <v>179</v>
      </c>
      <c r="G12" s="7" t="s">
        <v>180</v>
      </c>
    </row>
    <row r="13" spans="1:7" ht="54" customHeight="1">
      <c r="A13" s="8" t="s">
        <v>181</v>
      </c>
      <c r="B13" s="8" t="s">
        <v>182</v>
      </c>
      <c r="C13" s="8" t="s">
        <v>183</v>
      </c>
      <c r="D13" s="8" t="s">
        <v>184</v>
      </c>
      <c r="E13" s="8" t="s">
        <v>185</v>
      </c>
      <c r="F13" s="8" t="s">
        <v>166</v>
      </c>
      <c r="G13" s="8" t="s">
        <v>180</v>
      </c>
    </row>
    <row r="14" spans="1:7" ht="68.099999999999994" customHeight="1">
      <c r="A14" s="7" t="s">
        <v>186</v>
      </c>
      <c r="B14" s="7" t="s">
        <v>187</v>
      </c>
      <c r="C14" s="7" t="s">
        <v>188</v>
      </c>
      <c r="D14" s="7" t="s">
        <v>189</v>
      </c>
      <c r="E14" s="7" t="s">
        <v>190</v>
      </c>
      <c r="F14" s="7" t="s">
        <v>191</v>
      </c>
      <c r="G14" s="7" t="s">
        <v>192</v>
      </c>
    </row>
    <row r="15" spans="1:7" ht="54" customHeight="1">
      <c r="A15" s="8" t="s">
        <v>193</v>
      </c>
      <c r="B15" s="8" t="s">
        <v>194</v>
      </c>
      <c r="C15" s="8" t="s">
        <v>195</v>
      </c>
      <c r="D15" s="8" t="s">
        <v>196</v>
      </c>
      <c r="E15" s="8" t="s">
        <v>197</v>
      </c>
      <c r="F15" s="8" t="s">
        <v>198</v>
      </c>
      <c r="G15" s="8" t="s">
        <v>199</v>
      </c>
    </row>
    <row r="16" spans="1:7" ht="68.099999999999994" customHeight="1">
      <c r="A16" s="7" t="s">
        <v>200</v>
      </c>
      <c r="B16" s="7" t="s">
        <v>201</v>
      </c>
      <c r="C16" s="7" t="s">
        <v>202</v>
      </c>
      <c r="D16" s="7" t="s">
        <v>203</v>
      </c>
      <c r="E16" s="7" t="s">
        <v>204</v>
      </c>
      <c r="F16" s="7" t="s">
        <v>205</v>
      </c>
      <c r="G16" s="7" t="s">
        <v>199</v>
      </c>
    </row>
    <row r="17" spans="1:7" ht="54" customHeight="1">
      <c r="A17" s="8" t="s">
        <v>206</v>
      </c>
      <c r="B17" s="8" t="s">
        <v>207</v>
      </c>
      <c r="C17" s="8" t="s">
        <v>208</v>
      </c>
      <c r="D17" s="8" t="s">
        <v>209</v>
      </c>
      <c r="E17" s="8" t="s">
        <v>210</v>
      </c>
      <c r="F17" s="8" t="s">
        <v>211</v>
      </c>
      <c r="G17" s="8" t="s">
        <v>212</v>
      </c>
    </row>
    <row r="18" spans="1:7" ht="68.099999999999994" customHeight="1">
      <c r="A18" s="7" t="s">
        <v>213</v>
      </c>
      <c r="B18" s="7" t="s">
        <v>214</v>
      </c>
      <c r="C18" s="7" t="s">
        <v>208</v>
      </c>
      <c r="D18" s="7" t="s">
        <v>215</v>
      </c>
      <c r="E18" s="7" t="s">
        <v>216</v>
      </c>
      <c r="F18" s="7" t="s">
        <v>211</v>
      </c>
      <c r="G18" s="7" t="s">
        <v>212</v>
      </c>
    </row>
    <row r="19" spans="1:7" ht="68.099999999999994" customHeight="1">
      <c r="A19" s="8" t="s">
        <v>217</v>
      </c>
      <c r="B19" s="8" t="s">
        <v>218</v>
      </c>
      <c r="C19" s="8" t="s">
        <v>219</v>
      </c>
      <c r="D19" s="8" t="s">
        <v>220</v>
      </c>
      <c r="E19" s="8" t="s">
        <v>221</v>
      </c>
      <c r="F19" s="8" t="s">
        <v>222</v>
      </c>
      <c r="G19" s="8" t="s">
        <v>212</v>
      </c>
    </row>
    <row r="20" spans="1:7" ht="68.099999999999994" customHeight="1">
      <c r="A20" s="7" t="s">
        <v>223</v>
      </c>
      <c r="B20" s="7" t="s">
        <v>224</v>
      </c>
      <c r="C20" s="7" t="s">
        <v>225</v>
      </c>
      <c r="D20" s="7" t="s">
        <v>226</v>
      </c>
      <c r="E20" s="7" t="s">
        <v>227</v>
      </c>
      <c r="F20" s="7" t="s">
        <v>228</v>
      </c>
      <c r="G20" s="7" t="s">
        <v>229</v>
      </c>
    </row>
    <row r="21" spans="1:7" ht="68.099999999999994" customHeight="1">
      <c r="A21" s="8" t="s">
        <v>230</v>
      </c>
      <c r="B21" s="8" t="s">
        <v>231</v>
      </c>
      <c r="C21" s="8" t="s">
        <v>232</v>
      </c>
      <c r="D21" s="8" t="s">
        <v>233</v>
      </c>
      <c r="E21" s="8" t="s">
        <v>234</v>
      </c>
      <c r="F21" s="8" t="s">
        <v>235</v>
      </c>
      <c r="G21" s="8" t="s">
        <v>229</v>
      </c>
    </row>
    <row r="22" spans="1:7" ht="54" customHeight="1">
      <c r="A22" s="7" t="s">
        <v>236</v>
      </c>
      <c r="B22" s="7" t="s">
        <v>237</v>
      </c>
      <c r="C22" s="7" t="s">
        <v>238</v>
      </c>
      <c r="D22" s="7" t="s">
        <v>239</v>
      </c>
      <c r="E22" s="7" t="s">
        <v>240</v>
      </c>
      <c r="F22" s="7" t="s">
        <v>235</v>
      </c>
      <c r="G22" s="7" t="s">
        <v>241</v>
      </c>
    </row>
    <row r="23" spans="1:7" ht="68.099999999999994" customHeight="1">
      <c r="A23" s="8" t="s">
        <v>242</v>
      </c>
      <c r="B23" s="8" t="s">
        <v>243</v>
      </c>
      <c r="C23" s="8" t="s">
        <v>244</v>
      </c>
      <c r="D23" s="8" t="s">
        <v>245</v>
      </c>
      <c r="E23" s="8" t="s">
        <v>246</v>
      </c>
      <c r="F23" s="8" t="s">
        <v>235</v>
      </c>
      <c r="G23" s="8" t="s">
        <v>247</v>
      </c>
    </row>
    <row r="24" spans="1:7" ht="68.099999999999994" customHeight="1">
      <c r="A24" s="7" t="s">
        <v>248</v>
      </c>
      <c r="B24" s="7" t="s">
        <v>249</v>
      </c>
      <c r="C24" s="7" t="s">
        <v>250</v>
      </c>
      <c r="D24" s="7" t="s">
        <v>251</v>
      </c>
      <c r="E24" s="7" t="s">
        <v>252</v>
      </c>
      <c r="F24" s="7" t="s">
        <v>235</v>
      </c>
      <c r="G24" s="7" t="s">
        <v>253</v>
      </c>
    </row>
    <row r="25" spans="1:7" ht="54" customHeight="1">
      <c r="A25" s="8" t="s">
        <v>254</v>
      </c>
      <c r="B25" s="8" t="s">
        <v>255</v>
      </c>
      <c r="C25" s="8" t="s">
        <v>183</v>
      </c>
      <c r="D25" s="8" t="s">
        <v>256</v>
      </c>
      <c r="E25" s="8" t="s">
        <v>257</v>
      </c>
      <c r="F25" s="8" t="s">
        <v>258</v>
      </c>
      <c r="G25" s="8" t="s">
        <v>259</v>
      </c>
    </row>
    <row r="26" spans="1:7" ht="68.099999999999994" customHeight="1">
      <c r="A26" s="7" t="s">
        <v>260</v>
      </c>
      <c r="B26" s="7" t="s">
        <v>261</v>
      </c>
      <c r="C26" s="7" t="s">
        <v>262</v>
      </c>
      <c r="D26" s="7" t="s">
        <v>263</v>
      </c>
      <c r="E26" s="7" t="s">
        <v>264</v>
      </c>
      <c r="F26" s="7" t="s">
        <v>258</v>
      </c>
      <c r="G26" s="7" t="s">
        <v>265</v>
      </c>
    </row>
    <row r="27" spans="1:7" ht="54" customHeight="1">
      <c r="A27" s="8" t="s">
        <v>266</v>
      </c>
      <c r="B27" s="8" t="s">
        <v>267</v>
      </c>
      <c r="C27" s="8" t="s">
        <v>268</v>
      </c>
      <c r="D27" s="8" t="s">
        <v>269</v>
      </c>
      <c r="E27" s="8" t="s">
        <v>270</v>
      </c>
      <c r="F27" s="8" t="s">
        <v>271</v>
      </c>
      <c r="G27" s="8" t="s">
        <v>259</v>
      </c>
    </row>
    <row r="28" spans="1:7" ht="54" customHeight="1">
      <c r="A28" s="7" t="s">
        <v>272</v>
      </c>
      <c r="B28" s="7" t="s">
        <v>273</v>
      </c>
      <c r="C28" s="7" t="s">
        <v>274</v>
      </c>
      <c r="D28" s="7" t="s">
        <v>275</v>
      </c>
      <c r="E28" s="7" t="s">
        <v>276</v>
      </c>
      <c r="F28" s="7" t="s">
        <v>277</v>
      </c>
      <c r="G28" s="7" t="s">
        <v>278</v>
      </c>
    </row>
    <row r="29" spans="1:7" ht="68.099999999999994" customHeight="1">
      <c r="A29" s="8" t="s">
        <v>279</v>
      </c>
      <c r="B29" s="8" t="s">
        <v>280</v>
      </c>
      <c r="C29" s="8" t="s">
        <v>281</v>
      </c>
      <c r="D29" s="8" t="s">
        <v>282</v>
      </c>
      <c r="E29" s="8" t="s">
        <v>283</v>
      </c>
      <c r="F29" s="8" t="s">
        <v>284</v>
      </c>
      <c r="G29" s="8" t="s">
        <v>278</v>
      </c>
    </row>
    <row r="30" spans="1:7" ht="54" customHeight="1">
      <c r="A30" s="7" t="s">
        <v>285</v>
      </c>
      <c r="B30" s="7" t="s">
        <v>286</v>
      </c>
      <c r="C30" s="7" t="s">
        <v>287</v>
      </c>
      <c r="D30" s="7" t="s">
        <v>288</v>
      </c>
      <c r="E30" s="7" t="s">
        <v>289</v>
      </c>
      <c r="F30" s="7" t="s">
        <v>290</v>
      </c>
      <c r="G30" s="7" t="s">
        <v>278</v>
      </c>
    </row>
    <row r="31" spans="1:7" ht="39.950000000000003" customHeight="1">
      <c r="A31" s="8" t="s">
        <v>291</v>
      </c>
      <c r="B31" s="8" t="s">
        <v>286</v>
      </c>
      <c r="C31" s="8" t="s">
        <v>292</v>
      </c>
      <c r="D31" s="8" t="s">
        <v>293</v>
      </c>
      <c r="E31" s="8" t="s">
        <v>294</v>
      </c>
      <c r="F31" s="8" t="s">
        <v>290</v>
      </c>
      <c r="G31" s="8" t="s">
        <v>278</v>
      </c>
    </row>
    <row r="32" spans="1:7" ht="54" customHeight="1">
      <c r="A32" s="7" t="s">
        <v>295</v>
      </c>
      <c r="B32" s="7" t="s">
        <v>296</v>
      </c>
      <c r="C32" s="7" t="s">
        <v>297</v>
      </c>
      <c r="D32" s="7" t="s">
        <v>298</v>
      </c>
      <c r="E32" s="7" t="s">
        <v>299</v>
      </c>
      <c r="F32" s="7" t="s">
        <v>300</v>
      </c>
      <c r="G32" s="7" t="s">
        <v>278</v>
      </c>
    </row>
    <row r="33" spans="1:7" ht="54" customHeight="1">
      <c r="A33" s="8" t="s">
        <v>301</v>
      </c>
      <c r="B33" s="8" t="s">
        <v>296</v>
      </c>
      <c r="C33" s="8" t="s">
        <v>302</v>
      </c>
      <c r="D33" s="8" t="s">
        <v>303</v>
      </c>
      <c r="E33" s="8" t="s">
        <v>304</v>
      </c>
      <c r="F33" s="8" t="s">
        <v>300</v>
      </c>
      <c r="G33" s="8" t="s">
        <v>278</v>
      </c>
    </row>
    <row r="34" spans="1:7" ht="54" customHeight="1">
      <c r="A34" s="7" t="s">
        <v>305</v>
      </c>
      <c r="B34" s="7" t="s">
        <v>306</v>
      </c>
      <c r="C34" s="7" t="s">
        <v>292</v>
      </c>
      <c r="D34" s="7" t="s">
        <v>307</v>
      </c>
      <c r="E34" s="7" t="s">
        <v>308</v>
      </c>
      <c r="F34" s="7" t="s">
        <v>300</v>
      </c>
      <c r="G34" s="7" t="s">
        <v>278</v>
      </c>
    </row>
    <row r="35" spans="1:7" ht="54" customHeight="1">
      <c r="A35" s="8" t="s">
        <v>309</v>
      </c>
      <c r="B35" s="8" t="s">
        <v>310</v>
      </c>
      <c r="C35" s="8" t="s">
        <v>311</v>
      </c>
      <c r="D35" s="8" t="s">
        <v>312</v>
      </c>
      <c r="E35" s="8" t="s">
        <v>313</v>
      </c>
      <c r="F35" s="8" t="s">
        <v>300</v>
      </c>
      <c r="G35" s="8" t="s">
        <v>278</v>
      </c>
    </row>
    <row r="36" spans="1:7" ht="54" customHeight="1">
      <c r="A36" s="7" t="s">
        <v>314</v>
      </c>
      <c r="B36" s="7" t="s">
        <v>315</v>
      </c>
      <c r="C36" s="7" t="s">
        <v>316</v>
      </c>
      <c r="D36" s="7" t="s">
        <v>317</v>
      </c>
      <c r="E36" s="7" t="s">
        <v>318</v>
      </c>
      <c r="F36" s="7" t="s">
        <v>300</v>
      </c>
      <c r="G36" s="7" t="s">
        <v>278</v>
      </c>
    </row>
    <row r="37" spans="1:7" ht="54" customHeight="1">
      <c r="A37" s="8" t="s">
        <v>319</v>
      </c>
      <c r="B37" s="8" t="s">
        <v>320</v>
      </c>
      <c r="C37" s="8" t="s">
        <v>321</v>
      </c>
      <c r="D37" s="8" t="s">
        <v>322</v>
      </c>
      <c r="E37" s="8" t="s">
        <v>323</v>
      </c>
      <c r="F37" s="8" t="s">
        <v>300</v>
      </c>
      <c r="G37" s="8" t="s">
        <v>278</v>
      </c>
    </row>
    <row r="38" spans="1:7" ht="68.099999999999994" customHeight="1">
      <c r="A38" s="7" t="s">
        <v>324</v>
      </c>
      <c r="B38" s="7" t="s">
        <v>325</v>
      </c>
      <c r="C38" s="7" t="s">
        <v>326</v>
      </c>
      <c r="D38" s="7" t="s">
        <v>327</v>
      </c>
      <c r="E38" s="7" t="s">
        <v>328</v>
      </c>
      <c r="F38" s="7" t="s">
        <v>329</v>
      </c>
      <c r="G38" s="7" t="s">
        <v>330</v>
      </c>
    </row>
    <row r="39" spans="1:7" ht="54" customHeight="1">
      <c r="A39" s="8" t="s">
        <v>331</v>
      </c>
      <c r="B39" s="8" t="s">
        <v>332</v>
      </c>
      <c r="C39" s="8" t="s">
        <v>333</v>
      </c>
      <c r="D39" s="8" t="s">
        <v>334</v>
      </c>
      <c r="E39" s="8" t="s">
        <v>335</v>
      </c>
      <c r="F39" s="8" t="s">
        <v>336</v>
      </c>
      <c r="G39" s="8" t="s">
        <v>330</v>
      </c>
    </row>
    <row r="40" spans="1:7" ht="39.950000000000003" customHeight="1">
      <c r="A40" s="7" t="s">
        <v>337</v>
      </c>
      <c r="B40" s="7" t="s">
        <v>338</v>
      </c>
      <c r="C40" s="7" t="s">
        <v>183</v>
      </c>
      <c r="D40" s="7" t="s">
        <v>339</v>
      </c>
      <c r="E40" s="7" t="s">
        <v>340</v>
      </c>
      <c r="F40" s="7" t="s">
        <v>341</v>
      </c>
      <c r="G40" s="7" t="s">
        <v>342</v>
      </c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4" t="s">
        <v>343</v>
      </c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 ht="32.1" customHeight="1">
      <c r="A45" s="6" t="s">
        <v>344</v>
      </c>
      <c r="B45" s="6" t="s">
        <v>155</v>
      </c>
      <c r="C45" s="6" t="s">
        <v>345</v>
      </c>
      <c r="D45" s="6" t="s">
        <v>346</v>
      </c>
      <c r="E45" s="6" t="s">
        <v>347</v>
      </c>
      <c r="F45" s="6" t="s">
        <v>348</v>
      </c>
      <c r="G45" s="6" t="s">
        <v>160</v>
      </c>
    </row>
    <row r="46" spans="1:7" ht="54" customHeight="1">
      <c r="A46" s="7" t="s">
        <v>349</v>
      </c>
      <c r="B46" s="7" t="s">
        <v>350</v>
      </c>
      <c r="C46" s="7" t="s">
        <v>351</v>
      </c>
      <c r="D46" s="7" t="s">
        <v>352</v>
      </c>
      <c r="E46" s="7" t="s">
        <v>353</v>
      </c>
      <c r="F46" s="7" t="s">
        <v>354</v>
      </c>
      <c r="G46" s="7" t="s">
        <v>355</v>
      </c>
    </row>
    <row r="47" spans="1:7" ht="54" customHeight="1">
      <c r="A47" s="8" t="s">
        <v>356</v>
      </c>
      <c r="B47" s="8" t="s">
        <v>357</v>
      </c>
      <c r="C47" s="8" t="s">
        <v>358</v>
      </c>
      <c r="D47" s="8" t="s">
        <v>359</v>
      </c>
      <c r="E47" s="8" t="s">
        <v>360</v>
      </c>
      <c r="F47" s="8" t="s">
        <v>361</v>
      </c>
      <c r="G47" s="8" t="s">
        <v>330</v>
      </c>
    </row>
    <row r="48" spans="1:7" ht="54" customHeight="1">
      <c r="A48" s="7" t="s">
        <v>362</v>
      </c>
      <c r="B48" s="7" t="s">
        <v>363</v>
      </c>
      <c r="C48" s="7" t="s">
        <v>364</v>
      </c>
      <c r="D48" s="7" t="s">
        <v>365</v>
      </c>
      <c r="E48" s="7" t="s">
        <v>366</v>
      </c>
      <c r="F48" s="7" t="s">
        <v>367</v>
      </c>
      <c r="G48" s="7" t="s">
        <v>368</v>
      </c>
    </row>
    <row r="49" spans="1:7" ht="68.099999999999994" customHeight="1">
      <c r="A49" s="8" t="s">
        <v>369</v>
      </c>
      <c r="B49" s="8" t="s">
        <v>363</v>
      </c>
      <c r="C49" s="8" t="s">
        <v>370</v>
      </c>
      <c r="D49" s="8" t="s">
        <v>371</v>
      </c>
      <c r="E49" s="8" t="s">
        <v>372</v>
      </c>
      <c r="F49" s="8" t="s">
        <v>361</v>
      </c>
      <c r="G49" s="8" t="s">
        <v>368</v>
      </c>
    </row>
    <row r="50" spans="1:7" ht="54" customHeight="1">
      <c r="A50" s="7" t="s">
        <v>373</v>
      </c>
      <c r="B50" s="7" t="s">
        <v>374</v>
      </c>
      <c r="C50" s="7" t="s">
        <v>375</v>
      </c>
      <c r="D50" s="7" t="s">
        <v>376</v>
      </c>
      <c r="E50" s="7" t="s">
        <v>377</v>
      </c>
      <c r="F50" s="7" t="s">
        <v>378</v>
      </c>
      <c r="G50" s="7" t="s">
        <v>379</v>
      </c>
    </row>
    <row r="51" spans="1:7" ht="54" customHeight="1">
      <c r="A51" s="8" t="s">
        <v>380</v>
      </c>
      <c r="B51" s="8" t="s">
        <v>381</v>
      </c>
      <c r="C51" s="8" t="s">
        <v>382</v>
      </c>
      <c r="D51" s="8" t="s">
        <v>383</v>
      </c>
      <c r="E51" s="8" t="s">
        <v>384</v>
      </c>
      <c r="F51" s="8" t="s">
        <v>361</v>
      </c>
      <c r="G51" s="8" t="s">
        <v>368</v>
      </c>
    </row>
    <row r="52" spans="1:7" ht="39.950000000000003" customHeight="1">
      <c r="A52" s="7" t="s">
        <v>385</v>
      </c>
      <c r="B52" s="7" t="s">
        <v>386</v>
      </c>
      <c r="C52" s="7" t="s">
        <v>387</v>
      </c>
      <c r="D52" s="7" t="s">
        <v>388</v>
      </c>
      <c r="E52" s="7" t="s">
        <v>389</v>
      </c>
      <c r="F52" s="7" t="s">
        <v>390</v>
      </c>
      <c r="G52" s="7" t="s">
        <v>368</v>
      </c>
    </row>
    <row r="53" spans="1:7" ht="68.099999999999994" customHeight="1">
      <c r="A53" s="8" t="s">
        <v>391</v>
      </c>
      <c r="B53" s="8" t="s">
        <v>392</v>
      </c>
      <c r="C53" s="8" t="s">
        <v>393</v>
      </c>
      <c r="D53" s="8" t="s">
        <v>394</v>
      </c>
      <c r="E53" s="8" t="s">
        <v>395</v>
      </c>
      <c r="F53" s="8" t="s">
        <v>396</v>
      </c>
      <c r="G53" s="8" t="s">
        <v>397</v>
      </c>
    </row>
    <row r="54" spans="1:7" ht="68.099999999999994" customHeight="1">
      <c r="A54" s="7" t="s">
        <v>398</v>
      </c>
      <c r="B54" s="7" t="s">
        <v>399</v>
      </c>
      <c r="C54" s="7" t="s">
        <v>400</v>
      </c>
      <c r="D54" s="7" t="s">
        <v>401</v>
      </c>
      <c r="E54" s="7" t="s">
        <v>402</v>
      </c>
      <c r="F54" s="7" t="s">
        <v>390</v>
      </c>
      <c r="G54" s="7" t="s">
        <v>368</v>
      </c>
    </row>
    <row r="55" spans="1:7" ht="54" customHeight="1">
      <c r="A55" s="8" t="s">
        <v>403</v>
      </c>
      <c r="B55" s="8" t="s">
        <v>404</v>
      </c>
      <c r="C55" s="8" t="s">
        <v>405</v>
      </c>
      <c r="D55" s="8" t="s">
        <v>406</v>
      </c>
      <c r="E55" s="8" t="s">
        <v>407</v>
      </c>
      <c r="F55" s="8" t="s">
        <v>361</v>
      </c>
      <c r="G55" s="8" t="s">
        <v>368</v>
      </c>
    </row>
    <row r="56" spans="1:7" ht="39.950000000000003" customHeight="1">
      <c r="A56" s="7" t="s">
        <v>408</v>
      </c>
      <c r="B56" s="7" t="s">
        <v>409</v>
      </c>
      <c r="C56" s="7" t="s">
        <v>410</v>
      </c>
      <c r="D56" s="7" t="s">
        <v>411</v>
      </c>
      <c r="E56" s="7" t="s">
        <v>412</v>
      </c>
      <c r="F56" s="7" t="s">
        <v>361</v>
      </c>
      <c r="G56" s="7" t="s">
        <v>368</v>
      </c>
    </row>
    <row r="57" spans="1:7" ht="96" customHeight="1">
      <c r="A57" s="8" t="s">
        <v>413</v>
      </c>
      <c r="B57" s="8" t="s">
        <v>414</v>
      </c>
      <c r="C57" s="8" t="s">
        <v>415</v>
      </c>
      <c r="D57" s="8" t="s">
        <v>416</v>
      </c>
      <c r="E57" s="8" t="s">
        <v>417</v>
      </c>
      <c r="F57" s="8" t="s">
        <v>361</v>
      </c>
      <c r="G57" s="8" t="s">
        <v>368</v>
      </c>
    </row>
    <row r="58" spans="1:7" ht="39.950000000000003" customHeight="1">
      <c r="A58" s="7" t="s">
        <v>418</v>
      </c>
      <c r="B58" s="7" t="s">
        <v>419</v>
      </c>
      <c r="C58" s="7" t="s">
        <v>420</v>
      </c>
      <c r="D58" s="7" t="s">
        <v>421</v>
      </c>
      <c r="E58" s="7" t="s">
        <v>422</v>
      </c>
      <c r="F58" s="7" t="s">
        <v>361</v>
      </c>
      <c r="G58" s="7" t="s">
        <v>355</v>
      </c>
    </row>
    <row r="59" spans="1:7" ht="54" customHeight="1">
      <c r="A59" s="8" t="s">
        <v>423</v>
      </c>
      <c r="B59" s="8" t="s">
        <v>424</v>
      </c>
      <c r="C59" s="8" t="s">
        <v>425</v>
      </c>
      <c r="D59" s="8" t="s">
        <v>426</v>
      </c>
      <c r="E59" s="8" t="s">
        <v>427</v>
      </c>
      <c r="F59" s="8" t="s">
        <v>361</v>
      </c>
      <c r="G59" s="8" t="s">
        <v>355</v>
      </c>
    </row>
    <row r="60" spans="1:7" ht="68.099999999999994" customHeight="1">
      <c r="A60" s="7" t="s">
        <v>428</v>
      </c>
      <c r="B60" s="7" t="s">
        <v>429</v>
      </c>
      <c r="C60" s="7" t="s">
        <v>430</v>
      </c>
      <c r="D60" s="7" t="s">
        <v>431</v>
      </c>
      <c r="E60" s="7" t="s">
        <v>432</v>
      </c>
      <c r="F60" s="7" t="s">
        <v>433</v>
      </c>
      <c r="G60" s="7" t="s">
        <v>355</v>
      </c>
    </row>
    <row r="61" spans="1:7" ht="68.099999999999994" customHeight="1">
      <c r="A61" s="8" t="s">
        <v>434</v>
      </c>
      <c r="B61" s="8" t="s">
        <v>435</v>
      </c>
      <c r="C61" s="8" t="s">
        <v>436</v>
      </c>
      <c r="D61" s="8" t="s">
        <v>437</v>
      </c>
      <c r="E61" s="8" t="s">
        <v>438</v>
      </c>
      <c r="F61" s="8" t="s">
        <v>439</v>
      </c>
      <c r="G61" s="8" t="s">
        <v>440</v>
      </c>
    </row>
    <row r="62" spans="1:7" ht="81.95" customHeight="1">
      <c r="A62" s="7" t="s">
        <v>441</v>
      </c>
      <c r="B62" s="7" t="s">
        <v>442</v>
      </c>
      <c r="C62" s="7" t="s">
        <v>443</v>
      </c>
      <c r="D62" s="7" t="s">
        <v>444</v>
      </c>
      <c r="E62" s="7" t="s">
        <v>445</v>
      </c>
      <c r="F62" s="7" t="s">
        <v>439</v>
      </c>
      <c r="G62" s="7" t="s">
        <v>446</v>
      </c>
    </row>
    <row r="63" spans="1:7" ht="68.099999999999994" customHeight="1">
      <c r="A63" s="8" t="s">
        <v>447</v>
      </c>
      <c r="B63" s="8" t="s">
        <v>448</v>
      </c>
      <c r="C63" s="8" t="s">
        <v>449</v>
      </c>
      <c r="D63" s="8" t="s">
        <v>450</v>
      </c>
      <c r="E63" s="8" t="s">
        <v>451</v>
      </c>
      <c r="F63" s="8" t="s">
        <v>452</v>
      </c>
      <c r="G63" s="8" t="s">
        <v>453</v>
      </c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4" t="s">
        <v>454</v>
      </c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 ht="32.1" customHeight="1">
      <c r="A68" s="6" t="s">
        <v>455</v>
      </c>
      <c r="B68" s="6" t="s">
        <v>456</v>
      </c>
      <c r="C68" s="6" t="s">
        <v>457</v>
      </c>
      <c r="D68" s="6" t="s">
        <v>458</v>
      </c>
      <c r="E68" s="6" t="s">
        <v>459</v>
      </c>
      <c r="F68" s="6" t="s">
        <v>460</v>
      </c>
      <c r="G68" s="6" t="s">
        <v>160</v>
      </c>
    </row>
    <row r="69" spans="1:7" ht="39.950000000000003" customHeight="1">
      <c r="A69" s="7" t="s">
        <v>461</v>
      </c>
      <c r="B69" s="7" t="s">
        <v>462</v>
      </c>
      <c r="C69" s="7" t="s">
        <v>463</v>
      </c>
      <c r="D69" s="7" t="s">
        <v>464</v>
      </c>
      <c r="E69" s="7" t="s">
        <v>465</v>
      </c>
      <c r="F69" s="7" t="s">
        <v>466</v>
      </c>
      <c r="G69" s="7" t="s">
        <v>229</v>
      </c>
    </row>
    <row r="70" spans="1:7" ht="54" customHeight="1">
      <c r="A70" s="8" t="s">
        <v>467</v>
      </c>
      <c r="B70" s="8" t="s">
        <v>468</v>
      </c>
      <c r="C70" s="8" t="s">
        <v>469</v>
      </c>
      <c r="D70" s="8" t="s">
        <v>470</v>
      </c>
      <c r="E70" s="8" t="s">
        <v>471</v>
      </c>
      <c r="F70" s="8" t="s">
        <v>472</v>
      </c>
      <c r="G70" s="8" t="s">
        <v>229</v>
      </c>
    </row>
    <row r="71" spans="1:7" ht="39.950000000000003" customHeight="1">
      <c r="A71" s="7" t="s">
        <v>473</v>
      </c>
      <c r="B71" s="7" t="s">
        <v>474</v>
      </c>
      <c r="C71" s="7" t="s">
        <v>475</v>
      </c>
      <c r="D71" s="7" t="s">
        <v>476</v>
      </c>
      <c r="E71" s="7" t="s">
        <v>477</v>
      </c>
      <c r="F71" s="7" t="s">
        <v>478</v>
      </c>
      <c r="G71" s="7" t="s">
        <v>229</v>
      </c>
    </row>
    <row r="72" spans="1:7" ht="54" customHeight="1">
      <c r="A72" s="8" t="s">
        <v>479</v>
      </c>
      <c r="B72" s="8" t="s">
        <v>480</v>
      </c>
      <c r="C72" s="8" t="s">
        <v>481</v>
      </c>
      <c r="D72" s="8" t="s">
        <v>482</v>
      </c>
      <c r="E72" s="8" t="s">
        <v>483</v>
      </c>
      <c r="F72" s="8" t="s">
        <v>484</v>
      </c>
      <c r="G72" s="8" t="s">
        <v>247</v>
      </c>
    </row>
    <row r="73" spans="1:7" ht="68.099999999999994" customHeight="1">
      <c r="A73" s="7" t="s">
        <v>485</v>
      </c>
      <c r="B73" s="7" t="s">
        <v>486</v>
      </c>
      <c r="C73" s="7" t="s">
        <v>487</v>
      </c>
      <c r="D73" s="7" t="s">
        <v>488</v>
      </c>
      <c r="E73" s="7" t="s">
        <v>489</v>
      </c>
      <c r="F73" s="7" t="s">
        <v>484</v>
      </c>
      <c r="G73" s="7" t="s">
        <v>247</v>
      </c>
    </row>
    <row r="74" spans="1:7" ht="39.950000000000003" customHeight="1">
      <c r="A74" s="8" t="s">
        <v>490</v>
      </c>
      <c r="B74" s="8" t="s">
        <v>491</v>
      </c>
      <c r="C74" s="8" t="s">
        <v>492</v>
      </c>
      <c r="D74" s="8" t="s">
        <v>493</v>
      </c>
      <c r="E74" s="8" t="s">
        <v>494</v>
      </c>
      <c r="F74" s="8" t="s">
        <v>484</v>
      </c>
      <c r="G74" s="8" t="s">
        <v>247</v>
      </c>
    </row>
    <row r="75" spans="1:7" ht="54" customHeight="1">
      <c r="A75" s="7" t="s">
        <v>495</v>
      </c>
      <c r="B75" s="7" t="s">
        <v>496</v>
      </c>
      <c r="C75" s="7" t="s">
        <v>492</v>
      </c>
      <c r="D75" s="7" t="s">
        <v>497</v>
      </c>
      <c r="E75" s="7" t="s">
        <v>498</v>
      </c>
      <c r="F75" s="7" t="s">
        <v>499</v>
      </c>
      <c r="G75" s="7" t="s">
        <v>247</v>
      </c>
    </row>
    <row r="76" spans="1:7" ht="68.099999999999994" customHeight="1">
      <c r="A76" s="8" t="s">
        <v>500</v>
      </c>
      <c r="B76" s="8" t="s">
        <v>501</v>
      </c>
      <c r="C76" s="8" t="s">
        <v>487</v>
      </c>
      <c r="D76" s="8" t="s">
        <v>502</v>
      </c>
      <c r="E76" s="8" t="s">
        <v>503</v>
      </c>
      <c r="F76" s="8" t="s">
        <v>499</v>
      </c>
      <c r="G76" s="8" t="s">
        <v>247</v>
      </c>
    </row>
    <row r="77" spans="1:7" ht="39.950000000000003" customHeight="1">
      <c r="A77" s="7" t="s">
        <v>504</v>
      </c>
      <c r="B77" s="7" t="s">
        <v>505</v>
      </c>
      <c r="C77" s="7" t="s">
        <v>506</v>
      </c>
      <c r="D77" s="7" t="s">
        <v>507</v>
      </c>
      <c r="E77" s="7" t="s">
        <v>508</v>
      </c>
      <c r="F77" s="7" t="s">
        <v>509</v>
      </c>
      <c r="G77" s="7" t="s">
        <v>247</v>
      </c>
    </row>
    <row r="78" spans="1:7" ht="39.950000000000003" customHeight="1">
      <c r="A78" s="8" t="s">
        <v>510</v>
      </c>
      <c r="B78" s="8" t="s">
        <v>511</v>
      </c>
      <c r="C78" s="8" t="s">
        <v>512</v>
      </c>
      <c r="D78" s="8" t="s">
        <v>513</v>
      </c>
      <c r="E78" s="8" t="s">
        <v>514</v>
      </c>
      <c r="F78" s="8" t="s">
        <v>515</v>
      </c>
      <c r="G78" s="8" t="s">
        <v>212</v>
      </c>
    </row>
    <row r="79" spans="1:7" ht="68.099999999999994" customHeight="1">
      <c r="A79" s="7" t="s">
        <v>516</v>
      </c>
      <c r="B79" s="7" t="s">
        <v>517</v>
      </c>
      <c r="C79" s="7" t="s">
        <v>518</v>
      </c>
      <c r="D79" s="7" t="s">
        <v>519</v>
      </c>
      <c r="E79" s="7" t="s">
        <v>520</v>
      </c>
      <c r="F79" s="7" t="s">
        <v>515</v>
      </c>
      <c r="G79" s="7" t="s">
        <v>212</v>
      </c>
    </row>
    <row r="80" spans="1:7" ht="54" customHeight="1">
      <c r="A80" s="8" t="s">
        <v>521</v>
      </c>
      <c r="B80" s="8" t="s">
        <v>522</v>
      </c>
      <c r="C80" s="8" t="s">
        <v>523</v>
      </c>
      <c r="D80" s="8" t="s">
        <v>524</v>
      </c>
      <c r="E80" s="8" t="s">
        <v>525</v>
      </c>
      <c r="F80" s="8" t="s">
        <v>526</v>
      </c>
      <c r="G80" s="8" t="s">
        <v>212</v>
      </c>
    </row>
    <row r="81" spans="1:7" ht="68.099999999999994" customHeight="1">
      <c r="A81" s="7" t="s">
        <v>527</v>
      </c>
      <c r="B81" s="7" t="s">
        <v>528</v>
      </c>
      <c r="C81" s="7" t="s">
        <v>529</v>
      </c>
      <c r="D81" s="7" t="s">
        <v>530</v>
      </c>
      <c r="E81" s="7" t="s">
        <v>531</v>
      </c>
      <c r="F81" s="7" t="s">
        <v>532</v>
      </c>
      <c r="G81" s="7" t="s">
        <v>253</v>
      </c>
    </row>
    <row r="82" spans="1:7" ht="54" customHeight="1">
      <c r="A82" s="8" t="s">
        <v>533</v>
      </c>
      <c r="B82" s="8" t="s">
        <v>534</v>
      </c>
      <c r="C82" s="8" t="s">
        <v>535</v>
      </c>
      <c r="D82" s="8" t="s">
        <v>536</v>
      </c>
      <c r="E82" s="8" t="s">
        <v>537</v>
      </c>
      <c r="F82" s="8" t="s">
        <v>526</v>
      </c>
      <c r="G82" s="8" t="s">
        <v>253</v>
      </c>
    </row>
    <row r="83" spans="1:7" ht="54" customHeight="1">
      <c r="A83" s="7" t="s">
        <v>538</v>
      </c>
      <c r="B83" s="7" t="s">
        <v>539</v>
      </c>
      <c r="C83" s="7" t="s">
        <v>540</v>
      </c>
      <c r="D83" s="7" t="s">
        <v>541</v>
      </c>
      <c r="E83" s="7" t="s">
        <v>542</v>
      </c>
      <c r="F83" s="7" t="s">
        <v>532</v>
      </c>
      <c r="G83" s="7" t="s">
        <v>543</v>
      </c>
    </row>
    <row r="84" spans="1:7" ht="54" customHeight="1">
      <c r="A84" s="8" t="s">
        <v>544</v>
      </c>
      <c r="B84" s="8" t="s">
        <v>545</v>
      </c>
      <c r="C84" s="8" t="s">
        <v>546</v>
      </c>
      <c r="D84" s="8" t="s">
        <v>547</v>
      </c>
      <c r="E84" s="8" t="s">
        <v>548</v>
      </c>
      <c r="F84" s="8" t="s">
        <v>549</v>
      </c>
      <c r="G84" s="8" t="s">
        <v>180</v>
      </c>
    </row>
    <row r="85" spans="1:7" ht="54" customHeight="1">
      <c r="A85" s="7" t="s">
        <v>550</v>
      </c>
      <c r="B85" s="7" t="s">
        <v>551</v>
      </c>
      <c r="C85" s="7" t="s">
        <v>552</v>
      </c>
      <c r="D85" s="7" t="s">
        <v>553</v>
      </c>
      <c r="E85" s="7" t="s">
        <v>554</v>
      </c>
      <c r="F85" s="7" t="s">
        <v>555</v>
      </c>
      <c r="G85" s="7" t="s">
        <v>556</v>
      </c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</sheetData>
  <mergeCells count="2">
    <mergeCell ref="B5:G5"/>
    <mergeCell ref="B6:G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"/>
  <sheetViews>
    <sheetView showGridLines="0" workbookViewId="0">
      <pane xSplit="1" ySplit="8" topLeftCell="B45" activePane="bottomRight" state="frozen"/>
      <selection pane="bottomRight" activeCell="B9" sqref="B9"/>
      <selection pane="bottomLeft"/>
      <selection pane="topRight"/>
    </sheetView>
  </sheetViews>
  <sheetFormatPr defaultRowHeight="14.1"/>
  <cols>
    <col min="1" max="1" width="24" customWidth="1"/>
    <col min="2" max="2" width="42" customWidth="1"/>
    <col min="3" max="3" width="57" customWidth="1"/>
    <col min="4" max="4" width="31" customWidth="1"/>
    <col min="5" max="5" width="22" customWidth="1"/>
    <col min="6" max="6" width="42" customWidth="1"/>
  </cols>
  <sheetData>
    <row r="1" spans="1:6">
      <c r="A1" s="1"/>
      <c r="B1" s="1"/>
      <c r="C1" s="1"/>
      <c r="D1" s="1"/>
      <c r="E1" s="1"/>
      <c r="F1" s="1"/>
    </row>
    <row r="2" spans="1:6" ht="18.95">
      <c r="A2" s="2" t="s">
        <v>557</v>
      </c>
      <c r="B2" s="1"/>
      <c r="C2" s="1"/>
      <c r="D2" s="1"/>
      <c r="E2" s="1"/>
      <c r="F2" s="1"/>
    </row>
    <row r="3" spans="1:6">
      <c r="A3" s="3"/>
      <c r="B3" s="3"/>
      <c r="C3" s="3"/>
      <c r="D3" s="3"/>
      <c r="E3" s="3"/>
      <c r="F3" s="3"/>
    </row>
    <row r="4" spans="1:6">
      <c r="A4" s="1"/>
      <c r="B4" s="1"/>
      <c r="C4" s="1"/>
      <c r="D4" s="1"/>
      <c r="E4" s="1"/>
      <c r="F4" s="1"/>
    </row>
    <row r="5" spans="1:6" ht="36" customHeight="1">
      <c r="A5" s="5" t="s">
        <v>558</v>
      </c>
      <c r="B5" s="11" t="s">
        <v>559</v>
      </c>
      <c r="C5" s="11"/>
      <c r="D5" s="11"/>
      <c r="E5" s="11"/>
      <c r="F5" s="1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 ht="32.1" customHeight="1">
      <c r="A8" s="6" t="s">
        <v>560</v>
      </c>
      <c r="B8" s="6" t="s">
        <v>561</v>
      </c>
      <c r="C8" s="6" t="s">
        <v>562</v>
      </c>
      <c r="D8" s="6" t="s">
        <v>563</v>
      </c>
      <c r="E8" s="6" t="s">
        <v>460</v>
      </c>
      <c r="F8" s="6" t="s">
        <v>564</v>
      </c>
    </row>
    <row r="9" spans="1:6" ht="54" customHeight="1">
      <c r="A9" s="7" t="s">
        <v>565</v>
      </c>
      <c r="B9" s="7" t="s">
        <v>566</v>
      </c>
      <c r="C9" s="7" t="s">
        <v>567</v>
      </c>
      <c r="D9" s="7" t="s">
        <v>568</v>
      </c>
      <c r="E9" s="9" t="s">
        <v>569</v>
      </c>
      <c r="F9" s="9"/>
    </row>
    <row r="10" spans="1:6" ht="54" customHeight="1">
      <c r="A10" s="8" t="s">
        <v>570</v>
      </c>
      <c r="B10" s="8" t="s">
        <v>571</v>
      </c>
      <c r="C10" s="8" t="s">
        <v>572</v>
      </c>
      <c r="D10" s="8" t="s">
        <v>573</v>
      </c>
      <c r="E10" s="9" t="s">
        <v>569</v>
      </c>
      <c r="F10" s="9"/>
    </row>
    <row r="11" spans="1:6" ht="54" customHeight="1">
      <c r="A11" s="7" t="s">
        <v>574</v>
      </c>
      <c r="B11" s="7" t="s">
        <v>575</v>
      </c>
      <c r="C11" s="7" t="s">
        <v>576</v>
      </c>
      <c r="D11" s="7" t="s">
        <v>577</v>
      </c>
      <c r="E11" s="9" t="s">
        <v>569</v>
      </c>
      <c r="F11" s="9"/>
    </row>
    <row r="12" spans="1:6" ht="54" customHeight="1">
      <c r="A12" s="8" t="s">
        <v>578</v>
      </c>
      <c r="B12" s="8" t="s">
        <v>579</v>
      </c>
      <c r="C12" s="8" t="s">
        <v>580</v>
      </c>
      <c r="D12" s="8" t="s">
        <v>581</v>
      </c>
      <c r="E12" s="9" t="s">
        <v>569</v>
      </c>
      <c r="F12" s="9"/>
    </row>
    <row r="13" spans="1:6" ht="54" customHeight="1">
      <c r="A13" s="7" t="s">
        <v>582</v>
      </c>
      <c r="B13" s="7" t="s">
        <v>583</v>
      </c>
      <c r="C13" s="7" t="s">
        <v>584</v>
      </c>
      <c r="D13" s="7" t="s">
        <v>585</v>
      </c>
      <c r="E13" s="9" t="s">
        <v>569</v>
      </c>
      <c r="F13" s="9"/>
    </row>
    <row r="14" spans="1:6" ht="54" customHeight="1">
      <c r="A14" s="8" t="s">
        <v>586</v>
      </c>
      <c r="B14" s="8" t="s">
        <v>587</v>
      </c>
      <c r="C14" s="8" t="s">
        <v>588</v>
      </c>
      <c r="D14" s="8" t="s">
        <v>589</v>
      </c>
      <c r="E14" s="9" t="s">
        <v>569</v>
      </c>
      <c r="F14" s="9"/>
    </row>
    <row r="15" spans="1:6" ht="68.099999999999994" customHeight="1">
      <c r="A15" s="7" t="s">
        <v>590</v>
      </c>
      <c r="B15" s="7" t="s">
        <v>591</v>
      </c>
      <c r="C15" s="7" t="s">
        <v>592</v>
      </c>
      <c r="D15" s="7" t="s">
        <v>593</v>
      </c>
      <c r="E15" s="9" t="s">
        <v>569</v>
      </c>
      <c r="F15" s="9"/>
    </row>
    <row r="16" spans="1:6" ht="68.099999999999994" customHeight="1">
      <c r="A16" s="8" t="s">
        <v>594</v>
      </c>
      <c r="B16" s="8" t="s">
        <v>595</v>
      </c>
      <c r="C16" s="8" t="s">
        <v>596</v>
      </c>
      <c r="D16" s="8" t="s">
        <v>573</v>
      </c>
      <c r="E16" s="9" t="s">
        <v>569</v>
      </c>
      <c r="F16" s="9"/>
    </row>
    <row r="17" spans="1:6" ht="54" customHeight="1">
      <c r="A17" s="7" t="s">
        <v>597</v>
      </c>
      <c r="B17" s="7" t="s">
        <v>598</v>
      </c>
      <c r="C17" s="7" t="s">
        <v>599</v>
      </c>
      <c r="D17" s="7" t="s">
        <v>600</v>
      </c>
      <c r="E17" s="9" t="s">
        <v>569</v>
      </c>
      <c r="F17" s="9"/>
    </row>
    <row r="18" spans="1:6" ht="54" customHeight="1">
      <c r="A18" s="8" t="s">
        <v>601</v>
      </c>
      <c r="B18" s="8" t="s">
        <v>602</v>
      </c>
      <c r="C18" s="8" t="s">
        <v>603</v>
      </c>
      <c r="D18" s="8" t="s">
        <v>604</v>
      </c>
      <c r="E18" s="9" t="s">
        <v>569</v>
      </c>
      <c r="F18" s="9"/>
    </row>
    <row r="19" spans="1:6" ht="54" customHeight="1">
      <c r="A19" s="7" t="s">
        <v>605</v>
      </c>
      <c r="B19" s="7" t="s">
        <v>606</v>
      </c>
      <c r="C19" s="7" t="s">
        <v>607</v>
      </c>
      <c r="D19" s="7" t="s">
        <v>600</v>
      </c>
      <c r="E19" s="9" t="s">
        <v>569</v>
      </c>
      <c r="F19" s="9"/>
    </row>
    <row r="20" spans="1:6" ht="54" customHeight="1">
      <c r="A20" s="8" t="s">
        <v>608</v>
      </c>
      <c r="B20" s="8" t="s">
        <v>609</v>
      </c>
      <c r="C20" s="8" t="s">
        <v>610</v>
      </c>
      <c r="D20" s="8" t="s">
        <v>611</v>
      </c>
      <c r="E20" s="9" t="s">
        <v>569</v>
      </c>
      <c r="F20" s="9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4" t="s">
        <v>612</v>
      </c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 ht="32.1" customHeight="1">
      <c r="A25" s="6" t="s">
        <v>613</v>
      </c>
      <c r="B25" s="6" t="s">
        <v>614</v>
      </c>
      <c r="C25" s="6" t="s">
        <v>615</v>
      </c>
      <c r="D25" s="6" t="s">
        <v>616</v>
      </c>
      <c r="E25" s="6" t="s">
        <v>617</v>
      </c>
      <c r="F25" s="6" t="s">
        <v>618</v>
      </c>
    </row>
    <row r="26" spans="1:6" ht="39.950000000000003" customHeight="1">
      <c r="A26" s="7" t="s">
        <v>619</v>
      </c>
      <c r="B26" s="7" t="s">
        <v>620</v>
      </c>
      <c r="C26" s="7" t="s">
        <v>621</v>
      </c>
      <c r="D26" s="7" t="s">
        <v>622</v>
      </c>
      <c r="E26" s="7" t="s">
        <v>623</v>
      </c>
      <c r="F26" s="9"/>
    </row>
    <row r="27" spans="1:6" ht="39.950000000000003" customHeight="1">
      <c r="A27" s="8" t="s">
        <v>624</v>
      </c>
      <c r="B27" s="8" t="s">
        <v>625</v>
      </c>
      <c r="C27" s="8" t="s">
        <v>621</v>
      </c>
      <c r="D27" s="8" t="s">
        <v>622</v>
      </c>
      <c r="E27" s="8" t="s">
        <v>626</v>
      </c>
      <c r="F27" s="9"/>
    </row>
    <row r="28" spans="1:6" ht="54" customHeight="1">
      <c r="A28" s="7" t="s">
        <v>627</v>
      </c>
      <c r="B28" s="7" t="s">
        <v>628</v>
      </c>
      <c r="C28" s="7" t="s">
        <v>621</v>
      </c>
      <c r="D28" s="7" t="s">
        <v>622</v>
      </c>
      <c r="E28" s="7" t="s">
        <v>629</v>
      </c>
      <c r="F28" s="9"/>
    </row>
    <row r="29" spans="1:6" ht="39.950000000000003" customHeight="1">
      <c r="A29" s="8" t="s">
        <v>630</v>
      </c>
      <c r="B29" s="8" t="s">
        <v>631</v>
      </c>
      <c r="C29" s="8" t="s">
        <v>621</v>
      </c>
      <c r="D29" s="8" t="s">
        <v>622</v>
      </c>
      <c r="E29" s="8" t="s">
        <v>632</v>
      </c>
      <c r="F29" s="9"/>
    </row>
    <row r="30" spans="1:6" ht="39.950000000000003" customHeight="1">
      <c r="A30" s="7" t="s">
        <v>633</v>
      </c>
      <c r="B30" s="7" t="s">
        <v>634</v>
      </c>
      <c r="C30" s="7" t="s">
        <v>635</v>
      </c>
      <c r="D30" s="7" t="s">
        <v>636</v>
      </c>
      <c r="E30" s="7" t="s">
        <v>637</v>
      </c>
      <c r="F30" s="9"/>
    </row>
    <row r="31" spans="1:6" ht="54" customHeight="1">
      <c r="A31" s="8" t="s">
        <v>638</v>
      </c>
      <c r="B31" s="8" t="s">
        <v>639</v>
      </c>
      <c r="C31" s="8" t="s">
        <v>635</v>
      </c>
      <c r="D31" s="8" t="s">
        <v>636</v>
      </c>
      <c r="E31" s="8" t="s">
        <v>640</v>
      </c>
      <c r="F31" s="9"/>
    </row>
    <row r="32" spans="1:6" ht="39.950000000000003" customHeight="1">
      <c r="A32" s="7" t="s">
        <v>641</v>
      </c>
      <c r="B32" s="7" t="s">
        <v>642</v>
      </c>
      <c r="C32" s="7" t="s">
        <v>635</v>
      </c>
      <c r="D32" s="7" t="s">
        <v>636</v>
      </c>
      <c r="E32" s="7" t="s">
        <v>643</v>
      </c>
      <c r="F32" s="9"/>
    </row>
    <row r="33" spans="1:6" ht="39.950000000000003" customHeight="1">
      <c r="A33" s="8" t="s">
        <v>644</v>
      </c>
      <c r="B33" s="8" t="s">
        <v>645</v>
      </c>
      <c r="C33" s="8" t="s">
        <v>646</v>
      </c>
      <c r="D33" s="8" t="s">
        <v>647</v>
      </c>
      <c r="E33" s="8" t="s">
        <v>648</v>
      </c>
      <c r="F33" s="9"/>
    </row>
    <row r="34" spans="1:6" ht="39.950000000000003" customHeight="1">
      <c r="A34" s="7" t="s">
        <v>649</v>
      </c>
      <c r="B34" s="7" t="s">
        <v>650</v>
      </c>
      <c r="C34" s="7" t="s">
        <v>646</v>
      </c>
      <c r="D34" s="7" t="s">
        <v>647</v>
      </c>
      <c r="E34" s="7" t="s">
        <v>651</v>
      </c>
      <c r="F34" s="9"/>
    </row>
    <row r="35" spans="1:6" ht="39.950000000000003" customHeight="1">
      <c r="A35" s="8" t="s">
        <v>652</v>
      </c>
      <c r="B35" s="8" t="s">
        <v>653</v>
      </c>
      <c r="C35" s="8" t="s">
        <v>646</v>
      </c>
      <c r="D35" s="8" t="s">
        <v>647</v>
      </c>
      <c r="E35" s="8" t="s">
        <v>654</v>
      </c>
      <c r="F35" s="9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4" t="s">
        <v>655</v>
      </c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 ht="32.1" customHeight="1">
      <c r="A40" s="6" t="s">
        <v>656</v>
      </c>
      <c r="B40" s="6" t="s">
        <v>657</v>
      </c>
      <c r="C40" s="6" t="s">
        <v>658</v>
      </c>
      <c r="D40" s="6" t="s">
        <v>659</v>
      </c>
      <c r="E40" s="6" t="s">
        <v>660</v>
      </c>
      <c r="F40" s="6" t="s">
        <v>661</v>
      </c>
    </row>
    <row r="41" spans="1:6" ht="68.099999999999994" customHeight="1">
      <c r="A41" s="7" t="s">
        <v>212</v>
      </c>
      <c r="B41" s="7" t="s">
        <v>662</v>
      </c>
      <c r="C41" s="7" t="s">
        <v>663</v>
      </c>
      <c r="D41" s="7" t="s">
        <v>664</v>
      </c>
      <c r="E41" s="7" t="s">
        <v>665</v>
      </c>
      <c r="F41" s="7" t="s">
        <v>666</v>
      </c>
    </row>
    <row r="42" spans="1:6" ht="54" customHeight="1">
      <c r="A42" s="8" t="s">
        <v>167</v>
      </c>
      <c r="B42" s="8" t="s">
        <v>667</v>
      </c>
      <c r="C42" s="8" t="s">
        <v>668</v>
      </c>
      <c r="D42" s="8" t="s">
        <v>669</v>
      </c>
      <c r="E42" s="8" t="s">
        <v>670</v>
      </c>
      <c r="F42" s="8" t="s">
        <v>671</v>
      </c>
    </row>
    <row r="43" spans="1:6" ht="68.099999999999994" customHeight="1">
      <c r="A43" s="7" t="s">
        <v>180</v>
      </c>
      <c r="B43" s="7" t="s">
        <v>672</v>
      </c>
      <c r="C43" s="7" t="s">
        <v>673</v>
      </c>
      <c r="D43" s="7" t="s">
        <v>674</v>
      </c>
      <c r="E43" s="7" t="s">
        <v>670</v>
      </c>
      <c r="F43" s="7" t="s">
        <v>675</v>
      </c>
    </row>
    <row r="44" spans="1:6" ht="68.099999999999994" customHeight="1">
      <c r="A44" s="8" t="s">
        <v>229</v>
      </c>
      <c r="B44" s="8" t="s">
        <v>676</v>
      </c>
      <c r="C44" s="8" t="s">
        <v>677</v>
      </c>
      <c r="D44" s="8" t="s">
        <v>678</v>
      </c>
      <c r="E44" s="8" t="s">
        <v>670</v>
      </c>
      <c r="F44" s="8" t="s">
        <v>679</v>
      </c>
    </row>
    <row r="45" spans="1:6" ht="68.099999999999994" customHeight="1">
      <c r="A45" s="7" t="s">
        <v>247</v>
      </c>
      <c r="B45" s="7" t="s">
        <v>680</v>
      </c>
      <c r="C45" s="7" t="s">
        <v>681</v>
      </c>
      <c r="D45" s="7" t="s">
        <v>682</v>
      </c>
      <c r="E45" s="7" t="s">
        <v>670</v>
      </c>
      <c r="F45" s="7" t="s">
        <v>683</v>
      </c>
    </row>
    <row r="46" spans="1:6" ht="54" customHeight="1">
      <c r="A46" s="8" t="s">
        <v>253</v>
      </c>
      <c r="B46" s="8" t="s">
        <v>684</v>
      </c>
      <c r="C46" s="8" t="s">
        <v>685</v>
      </c>
      <c r="D46" s="8" t="s">
        <v>686</v>
      </c>
      <c r="E46" s="8" t="s">
        <v>670</v>
      </c>
      <c r="F46" s="8" t="s">
        <v>687</v>
      </c>
    </row>
    <row r="47" spans="1:6" ht="68.099999999999994" customHeight="1">
      <c r="A47" s="7" t="s">
        <v>543</v>
      </c>
      <c r="B47" s="7" t="s">
        <v>688</v>
      </c>
      <c r="C47" s="7" t="s">
        <v>689</v>
      </c>
      <c r="D47" s="7" t="s">
        <v>690</v>
      </c>
      <c r="E47" s="7" t="s">
        <v>691</v>
      </c>
      <c r="F47" s="7" t="s">
        <v>692</v>
      </c>
    </row>
    <row r="48" spans="1:6" ht="54" customHeight="1">
      <c r="A48" s="8" t="s">
        <v>199</v>
      </c>
      <c r="B48" s="8" t="s">
        <v>693</v>
      </c>
      <c r="C48" s="8" t="s">
        <v>694</v>
      </c>
      <c r="D48" s="8" t="s">
        <v>695</v>
      </c>
      <c r="E48" s="8" t="s">
        <v>670</v>
      </c>
      <c r="F48" s="8" t="s">
        <v>696</v>
      </c>
    </row>
    <row r="49" spans="1:6" ht="68.099999999999994" customHeight="1">
      <c r="A49" s="7" t="s">
        <v>697</v>
      </c>
      <c r="B49" s="7" t="s">
        <v>698</v>
      </c>
      <c r="C49" s="7" t="s">
        <v>699</v>
      </c>
      <c r="D49" s="7" t="s">
        <v>700</v>
      </c>
      <c r="E49" s="7" t="s">
        <v>701</v>
      </c>
      <c r="F49" s="7" t="s">
        <v>702</v>
      </c>
    </row>
    <row r="50" spans="1:6" ht="54" customHeight="1">
      <c r="A50" s="8" t="s">
        <v>703</v>
      </c>
      <c r="B50" s="8" t="s">
        <v>704</v>
      </c>
      <c r="C50" s="8" t="s">
        <v>705</v>
      </c>
      <c r="D50" s="8" t="s">
        <v>706</v>
      </c>
      <c r="E50" s="8" t="s">
        <v>665</v>
      </c>
      <c r="F50" s="8" t="s">
        <v>707</v>
      </c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</sheetData>
  <mergeCells count="1">
    <mergeCell ref="B5:F5"/>
  </mergeCells>
  <dataValidations count="1">
    <dataValidation type="list" sqref="E9:E20" xr:uid="{00000000-0002-0000-0300-000000000000}">
      <formula1>"Pending,Agreed,Revise,Deferred"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0"/>
  <sheetViews>
    <sheetView showGridLines="0" tabSelected="1" workbookViewId="0">
      <pane xSplit="1" ySplit="14" topLeftCell="B29" activePane="bottomRight" state="frozen"/>
      <selection pane="bottomRight" activeCell="C17" sqref="C17"/>
      <selection pane="bottomLeft"/>
      <selection pane="topRight"/>
    </sheetView>
  </sheetViews>
  <sheetFormatPr defaultRowHeight="14.1"/>
  <cols>
    <col min="1" max="1" width="24" customWidth="1"/>
    <col min="2" max="9" width="18" customWidth="1"/>
    <col min="10" max="10" width="26" customWidth="1"/>
    <col min="11" max="11" width="28" customWidth="1"/>
    <col min="12" max="12" width="26" customWidth="1"/>
    <col min="13" max="13" width="28" customWidth="1"/>
    <col min="14" max="14" width="29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.95">
      <c r="A2" s="2" t="s">
        <v>708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6" customHeight="1">
      <c r="A5" s="5" t="s">
        <v>709</v>
      </c>
      <c r="B5" s="11" t="s">
        <v>710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 t="s">
        <v>711</v>
      </c>
      <c r="B7" s="1" t="s">
        <v>712</v>
      </c>
      <c r="C7" s="1" t="s">
        <v>713</v>
      </c>
      <c r="D7" s="1" t="s">
        <v>560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 t="s">
        <v>714</v>
      </c>
      <c r="B8" s="10">
        <v>21</v>
      </c>
      <c r="C8" s="1">
        <v>28</v>
      </c>
      <c r="D8" s="1" t="s">
        <v>715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 t="s">
        <v>716</v>
      </c>
      <c r="B9" s="10">
        <v>35</v>
      </c>
      <c r="C9" s="1">
        <v>42</v>
      </c>
      <c r="D9" s="1" t="s">
        <v>715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717</v>
      </c>
      <c r="B11" s="10">
        <v>3</v>
      </c>
      <c r="C11" s="1"/>
      <c r="D11" s="1" t="s">
        <v>718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4" t="s">
        <v>719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32.1" customHeight="1">
      <c r="A14" s="6" t="s">
        <v>720</v>
      </c>
      <c r="B14" s="6" t="s">
        <v>721</v>
      </c>
      <c r="C14" s="6" t="s">
        <v>722</v>
      </c>
      <c r="D14" s="6" t="s">
        <v>723</v>
      </c>
      <c r="E14" s="6" t="s">
        <v>724</v>
      </c>
      <c r="F14" s="6" t="s">
        <v>725</v>
      </c>
      <c r="G14" s="6" t="s">
        <v>726</v>
      </c>
      <c r="H14" s="6" t="s">
        <v>727</v>
      </c>
      <c r="I14" s="6" t="s">
        <v>728</v>
      </c>
      <c r="J14" s="6" t="s">
        <v>729</v>
      </c>
      <c r="K14" s="6" t="s">
        <v>730</v>
      </c>
      <c r="L14" s="6" t="s">
        <v>731</v>
      </c>
      <c r="M14" s="6" t="s">
        <v>732</v>
      </c>
      <c r="N14" s="6" t="s">
        <v>733</v>
      </c>
    </row>
    <row r="15" spans="1:14" ht="39.950000000000003" customHeight="1">
      <c r="A15" s="7" t="s">
        <v>734</v>
      </c>
      <c r="B15" s="9">
        <v>7</v>
      </c>
      <c r="C15" s="9">
        <v>7</v>
      </c>
      <c r="D15" s="9">
        <v>7</v>
      </c>
      <c r="E15" s="9">
        <v>7</v>
      </c>
      <c r="F15" s="9">
        <v>7</v>
      </c>
      <c r="G15" s="9">
        <v>7</v>
      </c>
      <c r="H15" s="9">
        <v>7</v>
      </c>
      <c r="I15" s="9">
        <v>7</v>
      </c>
      <c r="J15" s="7">
        <f t="shared" ref="J15:J21" si="0">IF(AND(COUNT(B15:I15)=8,MIN(B15:I15)&gt;=0,MAX(B15:I15)&lt;=7,MOD(B15,1)=0,MOD(C15,1)=0,MOD(D15,1)=0,MOD(E15,1)=0,MOD(F15,1)=0,MOD(G15,1)=0,MOD(H15,1)=0,MOD(I15,1)=0),1,0)</f>
        <v>1</v>
      </c>
      <c r="K15" s="7">
        <f t="shared" ref="K15:K21" si="1">IF(J15=1,2*B15+3*C15+D15+E15+4*F15+4*G15+0.5*H15+0.5*I15,"")</f>
        <v>112</v>
      </c>
      <c r="L15" s="7" t="str">
        <f t="shared" ref="L15:L21" si="2">IF(ISNUMBER(K15),IF(K15&lt;=$B$8,"Poor",IF(K15&lt;=$B$9,"Borderline","Acceptable")),"Unknown")</f>
        <v>Acceptable</v>
      </c>
      <c r="M15" s="7">
        <f t="shared" ref="M15:M21" si="3">IF(ISNUMBER(K15),IF(L15="Poor",3,IF(L15="Borderline",2,1)),"")</f>
        <v>1</v>
      </c>
      <c r="N15" s="7" t="s">
        <v>735</v>
      </c>
    </row>
    <row r="16" spans="1:14" ht="39.950000000000003" customHeight="1">
      <c r="A16" s="8" t="s">
        <v>736</v>
      </c>
      <c r="B16" s="9">
        <v>0</v>
      </c>
      <c r="C16" s="9">
        <v>7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8">
        <f t="shared" si="0"/>
        <v>1</v>
      </c>
      <c r="K16" s="8">
        <f t="shared" si="1"/>
        <v>21</v>
      </c>
      <c r="L16" s="8" t="str">
        <f t="shared" si="2"/>
        <v>Poor</v>
      </c>
      <c r="M16" s="8">
        <f t="shared" si="3"/>
        <v>3</v>
      </c>
      <c r="N16" s="8" t="s">
        <v>737</v>
      </c>
    </row>
    <row r="17" spans="1:14" ht="39.950000000000003" customHeight="1">
      <c r="A17" s="7" t="s">
        <v>738</v>
      </c>
      <c r="B17" s="9">
        <v>7</v>
      </c>
      <c r="C17" s="9">
        <v>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7">
        <f t="shared" si="0"/>
        <v>1</v>
      </c>
      <c r="K17" s="7">
        <f t="shared" si="1"/>
        <v>35</v>
      </c>
      <c r="L17" s="7" t="str">
        <f t="shared" si="2"/>
        <v>Borderline</v>
      </c>
      <c r="M17" s="7">
        <f t="shared" si="3"/>
        <v>2</v>
      </c>
      <c r="N17" s="7" t="s">
        <v>739</v>
      </c>
    </row>
    <row r="18" spans="1:14" ht="39.950000000000003" customHeight="1">
      <c r="A18" s="8" t="s">
        <v>740</v>
      </c>
      <c r="B18" s="9">
        <v>0</v>
      </c>
      <c r="C18" s="9">
        <v>7</v>
      </c>
      <c r="D18" s="9">
        <v>0</v>
      </c>
      <c r="E18" s="9">
        <v>0</v>
      </c>
      <c r="F18" s="9">
        <v>0</v>
      </c>
      <c r="G18" s="9">
        <v>0</v>
      </c>
      <c r="H18" s="9">
        <v>1</v>
      </c>
      <c r="I18" s="9">
        <v>0</v>
      </c>
      <c r="J18" s="8">
        <f t="shared" si="0"/>
        <v>1</v>
      </c>
      <c r="K18" s="8">
        <f t="shared" si="1"/>
        <v>21.5</v>
      </c>
      <c r="L18" s="8" t="str">
        <f t="shared" si="2"/>
        <v>Borderline</v>
      </c>
      <c r="M18" s="8">
        <f t="shared" si="3"/>
        <v>2</v>
      </c>
      <c r="N18" s="8" t="s">
        <v>741</v>
      </c>
    </row>
    <row r="19" spans="1:14" ht="39.950000000000003" customHeight="1">
      <c r="A19" s="7" t="s">
        <v>742</v>
      </c>
      <c r="B19" s="9">
        <v>7</v>
      </c>
      <c r="C19" s="9">
        <v>7</v>
      </c>
      <c r="D19" s="9">
        <v>7</v>
      </c>
      <c r="E19" s="9">
        <v>7</v>
      </c>
      <c r="F19" s="9">
        <v>7</v>
      </c>
      <c r="G19" s="9">
        <v>7</v>
      </c>
      <c r="H19" s="9">
        <v>7</v>
      </c>
      <c r="I19" s="9"/>
      <c r="J19" s="7">
        <f t="shared" si="0"/>
        <v>0</v>
      </c>
      <c r="K19" s="7" t="str">
        <f t="shared" si="1"/>
        <v/>
      </c>
      <c r="L19" s="7" t="str">
        <f t="shared" si="2"/>
        <v>Unknown</v>
      </c>
      <c r="M19" s="7" t="str">
        <f t="shared" si="3"/>
        <v/>
      </c>
      <c r="N19" s="7" t="s">
        <v>743</v>
      </c>
    </row>
    <row r="20" spans="1:14" ht="39.950000000000003" customHeight="1">
      <c r="A20" s="8" t="s">
        <v>744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8">
        <f t="shared" si="0"/>
        <v>1</v>
      </c>
      <c r="K20" s="8">
        <f t="shared" si="1"/>
        <v>0</v>
      </c>
      <c r="L20" s="8" t="str">
        <f t="shared" si="2"/>
        <v>Poor</v>
      </c>
      <c r="M20" s="8">
        <f t="shared" si="3"/>
        <v>3</v>
      </c>
      <c r="N20" s="8" t="s">
        <v>745</v>
      </c>
    </row>
    <row r="21" spans="1:14" ht="39.950000000000003" customHeight="1">
      <c r="A21" s="7" t="s">
        <v>746</v>
      </c>
      <c r="B21" s="9">
        <v>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7">
        <f t="shared" si="0"/>
        <v>0</v>
      </c>
      <c r="K21" s="7" t="str">
        <f t="shared" si="1"/>
        <v/>
      </c>
      <c r="L21" s="7" t="str">
        <f t="shared" si="2"/>
        <v>Unknown</v>
      </c>
      <c r="M21" s="7" t="str">
        <f t="shared" si="3"/>
        <v/>
      </c>
      <c r="N21" s="7" t="s">
        <v>747</v>
      </c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4" t="s">
        <v>748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32.1" customHeight="1">
      <c r="A25" s="6" t="s">
        <v>720</v>
      </c>
      <c r="B25" s="6" t="s">
        <v>749</v>
      </c>
      <c r="C25" s="6" t="s">
        <v>750</v>
      </c>
      <c r="D25" s="6" t="s">
        <v>751</v>
      </c>
      <c r="E25" s="6" t="s">
        <v>752</v>
      </c>
      <c r="F25" s="6" t="s">
        <v>753</v>
      </c>
      <c r="G25" s="6" t="s">
        <v>754</v>
      </c>
      <c r="H25" s="6" t="s">
        <v>755</v>
      </c>
      <c r="I25" s="6" t="s">
        <v>756</v>
      </c>
      <c r="J25" s="6" t="s">
        <v>757</v>
      </c>
      <c r="K25" s="6" t="s">
        <v>758</v>
      </c>
      <c r="L25" s="6" t="s">
        <v>759</v>
      </c>
      <c r="M25" s="6" t="s">
        <v>760</v>
      </c>
      <c r="N25" s="6" t="s">
        <v>733</v>
      </c>
    </row>
    <row r="26" spans="1:14" ht="39.950000000000003" customHeight="1">
      <c r="A26" s="7" t="s">
        <v>761</v>
      </c>
      <c r="B26" s="9" t="s">
        <v>762</v>
      </c>
      <c r="C26" s="9"/>
      <c r="D26" s="9" t="s">
        <v>762</v>
      </c>
      <c r="E26" s="9"/>
      <c r="F26" s="9" t="s">
        <v>762</v>
      </c>
      <c r="G26" s="9"/>
      <c r="H26" s="7">
        <f t="shared" ref="H26:H31" si="4">IF(B26="no",0,IF(B26="yes",IF(OR(C26="rarely",C26="sometimes"),1,IF(C26="often",2,"")),""))</f>
        <v>0</v>
      </c>
      <c r="I26" s="7">
        <f t="shared" ref="I26:I31" si="5">IF(D26="no",0,IF(D26="yes",IF(OR(E26="rarely",E26="sometimes"),1,IF(E26="often",2,"")),""))</f>
        <v>0</v>
      </c>
      <c r="J26" s="7">
        <f t="shared" ref="J26:J31" si="6">IF(F26="no",0,IF(F26="yes",IF(OR(G26="rarely",G26="sometimes"),1,IF(G26="often",2,"")),""))</f>
        <v>0</v>
      </c>
      <c r="K26" s="7">
        <f t="shared" ref="K26:K31" si="7">IF(COUNT(H26:J26)=3,SUM(H26:J26),"")</f>
        <v>0</v>
      </c>
      <c r="L26" s="7" t="str">
        <f t="shared" ref="L26:L31" si="8">IF(ISNUMBER(K26),IF(K26&lt;=1,"Little/no",IF(K26&lt;=3,"Moderate","Severe")),"Unknown")</f>
        <v>Little/no</v>
      </c>
      <c r="M26" s="7">
        <f t="shared" ref="M26:M31" si="9">IF(ISNUMBER(K26),IF(K26&gt;=4,4,IF(K26&gt;=2,3,1)),"")</f>
        <v>1</v>
      </c>
      <c r="N26" s="7" t="s">
        <v>763</v>
      </c>
    </row>
    <row r="27" spans="1:14" ht="39.950000000000003" customHeight="1">
      <c r="A27" s="8" t="s">
        <v>764</v>
      </c>
      <c r="B27" s="9" t="s">
        <v>765</v>
      </c>
      <c r="C27" s="9" t="s">
        <v>766</v>
      </c>
      <c r="D27" s="9" t="s">
        <v>765</v>
      </c>
      <c r="E27" s="9" t="s">
        <v>767</v>
      </c>
      <c r="F27" s="9" t="s">
        <v>762</v>
      </c>
      <c r="G27" s="9"/>
      <c r="H27" s="8">
        <f t="shared" si="4"/>
        <v>1</v>
      </c>
      <c r="I27" s="8">
        <f t="shared" si="5"/>
        <v>1</v>
      </c>
      <c r="J27" s="8">
        <f t="shared" si="6"/>
        <v>0</v>
      </c>
      <c r="K27" s="8">
        <f t="shared" si="7"/>
        <v>2</v>
      </c>
      <c r="L27" s="8" t="str">
        <f t="shared" si="8"/>
        <v>Moderate</v>
      </c>
      <c r="M27" s="8">
        <f t="shared" si="9"/>
        <v>3</v>
      </c>
      <c r="N27" s="8" t="s">
        <v>768</v>
      </c>
    </row>
    <row r="28" spans="1:14" ht="39.950000000000003" customHeight="1">
      <c r="A28" s="7" t="s">
        <v>769</v>
      </c>
      <c r="B28" s="9" t="s">
        <v>765</v>
      </c>
      <c r="C28" s="9" t="s">
        <v>770</v>
      </c>
      <c r="D28" s="9" t="s">
        <v>765</v>
      </c>
      <c r="E28" s="9" t="s">
        <v>770</v>
      </c>
      <c r="F28" s="9" t="s">
        <v>762</v>
      </c>
      <c r="G28" s="9"/>
      <c r="H28" s="7">
        <f t="shared" si="4"/>
        <v>2</v>
      </c>
      <c r="I28" s="7">
        <f t="shared" si="5"/>
        <v>2</v>
      </c>
      <c r="J28" s="7">
        <f t="shared" si="6"/>
        <v>0</v>
      </c>
      <c r="K28" s="7">
        <f t="shared" si="7"/>
        <v>4</v>
      </c>
      <c r="L28" s="7" t="str">
        <f t="shared" si="8"/>
        <v>Severe</v>
      </c>
      <c r="M28" s="7">
        <f t="shared" si="9"/>
        <v>4</v>
      </c>
      <c r="N28" s="7" t="s">
        <v>771</v>
      </c>
    </row>
    <row r="29" spans="1:14" ht="39.950000000000003" customHeight="1">
      <c r="A29" s="8" t="s">
        <v>772</v>
      </c>
      <c r="B29" s="9" t="s">
        <v>765</v>
      </c>
      <c r="C29" s="9" t="s">
        <v>770</v>
      </c>
      <c r="D29" s="9" t="s">
        <v>765</v>
      </c>
      <c r="E29" s="9" t="s">
        <v>770</v>
      </c>
      <c r="F29" s="9" t="s">
        <v>765</v>
      </c>
      <c r="G29" s="9" t="s">
        <v>766</v>
      </c>
      <c r="H29" s="8">
        <f t="shared" si="4"/>
        <v>2</v>
      </c>
      <c r="I29" s="8">
        <f t="shared" si="5"/>
        <v>2</v>
      </c>
      <c r="J29" s="8">
        <f t="shared" si="6"/>
        <v>1</v>
      </c>
      <c r="K29" s="8">
        <f t="shared" si="7"/>
        <v>5</v>
      </c>
      <c r="L29" s="8" t="str">
        <f t="shared" si="8"/>
        <v>Severe</v>
      </c>
      <c r="M29" s="8">
        <f t="shared" si="9"/>
        <v>4</v>
      </c>
      <c r="N29" s="8" t="s">
        <v>773</v>
      </c>
    </row>
    <row r="30" spans="1:14" ht="39.950000000000003" customHeight="1">
      <c r="A30" s="7" t="s">
        <v>774</v>
      </c>
      <c r="B30" s="9" t="s">
        <v>765</v>
      </c>
      <c r="C30" s="9"/>
      <c r="D30" s="9" t="s">
        <v>762</v>
      </c>
      <c r="E30" s="9"/>
      <c r="F30" s="9" t="s">
        <v>762</v>
      </c>
      <c r="G30" s="9"/>
      <c r="H30" s="7" t="str">
        <f t="shared" si="4"/>
        <v/>
      </c>
      <c r="I30" s="7">
        <f t="shared" si="5"/>
        <v>0</v>
      </c>
      <c r="J30" s="7">
        <f t="shared" si="6"/>
        <v>0</v>
      </c>
      <c r="K30" s="7" t="str">
        <f t="shared" si="7"/>
        <v/>
      </c>
      <c r="L30" s="7" t="str">
        <f t="shared" si="8"/>
        <v>Unknown</v>
      </c>
      <c r="M30" s="7" t="str">
        <f t="shared" si="9"/>
        <v/>
      </c>
      <c r="N30" s="7" t="s">
        <v>775</v>
      </c>
    </row>
    <row r="31" spans="1:14" ht="39.950000000000003" customHeight="1">
      <c r="A31" s="8" t="s">
        <v>776</v>
      </c>
      <c r="B31" s="9" t="s">
        <v>777</v>
      </c>
      <c r="C31" s="9"/>
      <c r="D31" s="9" t="s">
        <v>762</v>
      </c>
      <c r="E31" s="9"/>
      <c r="F31" s="9" t="s">
        <v>762</v>
      </c>
      <c r="G31" s="9"/>
      <c r="H31" s="8" t="str">
        <f t="shared" si="4"/>
        <v/>
      </c>
      <c r="I31" s="8">
        <f t="shared" si="5"/>
        <v>0</v>
      </c>
      <c r="J31" s="8">
        <f t="shared" si="6"/>
        <v>0</v>
      </c>
      <c r="K31" s="8" t="str">
        <f t="shared" si="7"/>
        <v/>
      </c>
      <c r="L31" s="8" t="str">
        <f t="shared" si="8"/>
        <v>Unknown</v>
      </c>
      <c r="M31" s="8" t="str">
        <f t="shared" si="9"/>
        <v/>
      </c>
      <c r="N31" s="8" t="s">
        <v>775</v>
      </c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4" t="s">
        <v>778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32.1" customHeight="1">
      <c r="A35" s="6" t="s">
        <v>720</v>
      </c>
      <c r="B35" s="6" t="s">
        <v>779</v>
      </c>
      <c r="C35" s="6" t="s">
        <v>780</v>
      </c>
      <c r="D35" s="6" t="s">
        <v>781</v>
      </c>
      <c r="E35" s="6" t="s">
        <v>782</v>
      </c>
      <c r="F35" s="6" t="s">
        <v>783</v>
      </c>
      <c r="G35" s="6" t="s">
        <v>784</v>
      </c>
      <c r="H35" s="6" t="s">
        <v>785</v>
      </c>
      <c r="I35" s="6" t="s">
        <v>786</v>
      </c>
      <c r="J35" s="6" t="s">
        <v>787</v>
      </c>
      <c r="K35" s="6" t="s">
        <v>788</v>
      </c>
      <c r="L35" s="6" t="s">
        <v>789</v>
      </c>
      <c r="M35" s="6" t="s">
        <v>790</v>
      </c>
      <c r="N35" s="6" t="s">
        <v>733</v>
      </c>
    </row>
    <row r="36" spans="1:14" ht="39.950000000000003" customHeight="1">
      <c r="A36" s="7" t="s">
        <v>791</v>
      </c>
      <c r="B36" s="9">
        <v>3</v>
      </c>
      <c r="C36" s="9">
        <v>4</v>
      </c>
      <c r="D36" s="9">
        <v>2</v>
      </c>
      <c r="E36" s="9">
        <v>3</v>
      </c>
      <c r="F36" s="7">
        <f t="shared" ref="F36:I41" si="10">IF(ISNUMBER(B36),IF(B36&gt;=$B$11,1,0),"")</f>
        <v>1</v>
      </c>
      <c r="G36" s="7">
        <f t="shared" si="10"/>
        <v>1</v>
      </c>
      <c r="H36" s="7">
        <f t="shared" si="10"/>
        <v>0</v>
      </c>
      <c r="I36" s="7">
        <f t="shared" si="10"/>
        <v>1</v>
      </c>
      <c r="J36" s="7">
        <f t="shared" ref="J36:J41" si="11">COUNT(F36:I36)</f>
        <v>4</v>
      </c>
      <c r="K36" s="7">
        <f t="shared" ref="K36:K41" si="12">COUNTIFS(F36:I36,1)</f>
        <v>3</v>
      </c>
      <c r="L36" s="7">
        <f t="shared" ref="L36:L41" si="13">K36+4-J36</f>
        <v>3</v>
      </c>
      <c r="M36" s="7">
        <f t="shared" ref="M36:M41" si="14">IF(J36=4,K36,"")</f>
        <v>3</v>
      </c>
      <c r="N36" s="7" t="s">
        <v>792</v>
      </c>
    </row>
    <row r="37" spans="1:14" ht="39.950000000000003" customHeight="1">
      <c r="A37" s="8" t="s">
        <v>793</v>
      </c>
      <c r="B37" s="9">
        <v>1</v>
      </c>
      <c r="C37" s="9">
        <v>2</v>
      </c>
      <c r="D37" s="9">
        <v>1</v>
      </c>
      <c r="E37" s="9">
        <v>1</v>
      </c>
      <c r="F37" s="8">
        <f t="shared" si="10"/>
        <v>0</v>
      </c>
      <c r="G37" s="8">
        <f t="shared" si="10"/>
        <v>0</v>
      </c>
      <c r="H37" s="8">
        <f t="shared" si="10"/>
        <v>0</v>
      </c>
      <c r="I37" s="8">
        <f t="shared" si="10"/>
        <v>0</v>
      </c>
      <c r="J37" s="8">
        <f t="shared" si="11"/>
        <v>4</v>
      </c>
      <c r="K37" s="8">
        <f t="shared" si="12"/>
        <v>0</v>
      </c>
      <c r="L37" s="8">
        <f t="shared" si="13"/>
        <v>0</v>
      </c>
      <c r="M37" s="8">
        <f t="shared" si="14"/>
        <v>0</v>
      </c>
      <c r="N37" s="8" t="s">
        <v>794</v>
      </c>
    </row>
    <row r="38" spans="1:14" ht="39.950000000000003" customHeight="1">
      <c r="A38" s="7" t="s">
        <v>795</v>
      </c>
      <c r="B38" s="9">
        <v>3</v>
      </c>
      <c r="C38" s="9">
        <v>3</v>
      </c>
      <c r="D38" s="9">
        <v>2</v>
      </c>
      <c r="E38" s="9"/>
      <c r="F38" s="7">
        <f t="shared" si="10"/>
        <v>1</v>
      </c>
      <c r="G38" s="7">
        <f t="shared" si="10"/>
        <v>1</v>
      </c>
      <c r="H38" s="7">
        <f t="shared" si="10"/>
        <v>0</v>
      </c>
      <c r="I38" s="7" t="str">
        <f t="shared" si="10"/>
        <v/>
      </c>
      <c r="J38" s="7">
        <f t="shared" si="11"/>
        <v>3</v>
      </c>
      <c r="K38" s="7">
        <f t="shared" si="12"/>
        <v>2</v>
      </c>
      <c r="L38" s="7">
        <f t="shared" si="13"/>
        <v>3</v>
      </c>
      <c r="M38" s="7" t="str">
        <f t="shared" si="14"/>
        <v/>
      </c>
      <c r="N38" s="7" t="s">
        <v>796</v>
      </c>
    </row>
    <row r="39" spans="1:14" ht="39.950000000000003" customHeight="1">
      <c r="A39" s="8" t="s">
        <v>797</v>
      </c>
      <c r="B39" s="9">
        <v>4</v>
      </c>
      <c r="C39" s="9"/>
      <c r="D39" s="9"/>
      <c r="E39" s="9"/>
      <c r="F39" s="8">
        <f t="shared" si="10"/>
        <v>1</v>
      </c>
      <c r="G39" s="8" t="str">
        <f t="shared" si="10"/>
        <v/>
      </c>
      <c r="H39" s="8" t="str">
        <f t="shared" si="10"/>
        <v/>
      </c>
      <c r="I39" s="8" t="str">
        <f t="shared" si="10"/>
        <v/>
      </c>
      <c r="J39" s="8">
        <f t="shared" si="11"/>
        <v>1</v>
      </c>
      <c r="K39" s="8">
        <f t="shared" si="12"/>
        <v>1</v>
      </c>
      <c r="L39" s="8">
        <f t="shared" si="13"/>
        <v>4</v>
      </c>
      <c r="M39" s="8" t="str">
        <f t="shared" si="14"/>
        <v/>
      </c>
      <c r="N39" s="8" t="s">
        <v>798</v>
      </c>
    </row>
    <row r="40" spans="1:14" ht="39.950000000000003" customHeight="1">
      <c r="A40" s="7" t="s">
        <v>799</v>
      </c>
      <c r="B40" s="9"/>
      <c r="C40" s="9"/>
      <c r="D40" s="9"/>
      <c r="E40" s="9"/>
      <c r="F40" s="7" t="str">
        <f t="shared" si="10"/>
        <v/>
      </c>
      <c r="G40" s="7" t="str">
        <f t="shared" si="10"/>
        <v/>
      </c>
      <c r="H40" s="7" t="str">
        <f t="shared" si="10"/>
        <v/>
      </c>
      <c r="I40" s="7" t="str">
        <f t="shared" si="10"/>
        <v/>
      </c>
      <c r="J40" s="7">
        <f t="shared" si="11"/>
        <v>0</v>
      </c>
      <c r="K40" s="7">
        <f t="shared" si="12"/>
        <v>0</v>
      </c>
      <c r="L40" s="7">
        <f t="shared" si="13"/>
        <v>4</v>
      </c>
      <c r="M40" s="7" t="str">
        <f t="shared" si="14"/>
        <v/>
      </c>
      <c r="N40" s="7" t="s">
        <v>800</v>
      </c>
    </row>
    <row r="41" spans="1:14" ht="39.950000000000003" customHeight="1">
      <c r="A41" s="8" t="s">
        <v>801</v>
      </c>
      <c r="B41" s="9">
        <v>3</v>
      </c>
      <c r="C41" s="9">
        <v>2</v>
      </c>
      <c r="D41" s="9"/>
      <c r="E41" s="9">
        <v>2</v>
      </c>
      <c r="F41" s="8">
        <f t="shared" si="10"/>
        <v>1</v>
      </c>
      <c r="G41" s="8">
        <f t="shared" si="10"/>
        <v>0</v>
      </c>
      <c r="H41" s="8" t="str">
        <f t="shared" si="10"/>
        <v/>
      </c>
      <c r="I41" s="8">
        <f t="shared" si="10"/>
        <v>0</v>
      </c>
      <c r="J41" s="8">
        <f t="shared" si="11"/>
        <v>3</v>
      </c>
      <c r="K41" s="8">
        <f t="shared" si="12"/>
        <v>1</v>
      </c>
      <c r="L41" s="8">
        <f t="shared" si="13"/>
        <v>2</v>
      </c>
      <c r="M41" s="8" t="str">
        <f t="shared" si="14"/>
        <v/>
      </c>
      <c r="N41" s="8" t="s">
        <v>802</v>
      </c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36" customHeight="1">
      <c r="A44" s="5" t="s">
        <v>803</v>
      </c>
      <c r="B44" s="11" t="s">
        <v>804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ht="36" customHeight="1">
      <c r="A45" s="5" t="s">
        <v>805</v>
      </c>
      <c r="B45" s="11" t="s">
        <v>806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mergeCells count="3">
    <mergeCell ref="B5:N5"/>
    <mergeCell ref="B44:N44"/>
    <mergeCell ref="B45:N45"/>
  </mergeCell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D634304CDD944BBB6F6B9B96AB5DD" ma:contentTypeVersion="15" ma:contentTypeDescription="Create a new document." ma:contentTypeScope="" ma:versionID="bd01d50eceb60dc3d78575b1d621ffd7">
  <xsd:schema xmlns:xsd="http://www.w3.org/2001/XMLSchema" xmlns:xs="http://www.w3.org/2001/XMLSchema" xmlns:p="http://schemas.microsoft.com/office/2006/metadata/properties" xmlns:ns2="9a9445a5-b38d-4e11-8760-e4c43ce243d7" xmlns:ns3="31f8940e-d1a7-40ad-968f-2c66eb53a90a" targetNamespace="http://schemas.microsoft.com/office/2006/metadata/properties" ma:root="true" ma:fieldsID="8557c186efe597399650bd8228c58222" ns2:_="" ns3:_="">
    <xsd:import namespace="9a9445a5-b38d-4e11-8760-e4c43ce243d7"/>
    <xsd:import namespace="31f8940e-d1a7-40ad-968f-2c66eb53a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445a5-b38d-4e11-8760-e4c43ce2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8940e-d1a7-40ad-968f-2c66eb53a9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4e13b-b02f-4eb8-8319-0e177e045c02}" ma:internalName="TaxCatchAll" ma:showField="CatchAllData" ma:web="31f8940e-d1a7-40ad-968f-2c66eb53a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8940e-d1a7-40ad-968f-2c66eb53a90a" xsi:nil="true"/>
    <lcf76f155ced4ddcb4097134ff3c332f xmlns="9a9445a5-b38d-4e11-8760-e4c43ce243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6E072-8E77-454A-9588-1DAD7DF57FC4}"/>
</file>

<file path=customXml/itemProps2.xml><?xml version="1.0" encoding="utf-8"?>
<ds:datastoreItem xmlns:ds="http://schemas.openxmlformats.org/officeDocument/2006/customXml" ds:itemID="{EE45A8D2-AA15-4353-B4FB-94C50D60E993}"/>
</file>

<file path=customXml/itemProps3.xml><?xml version="1.0" encoding="utf-8"?>
<ds:datastoreItem xmlns:ds="http://schemas.openxmlformats.org/officeDocument/2006/customXml" ds:itemID="{A5456A66-66B1-4F71-8F3C-3499EDF0F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2026-10-15T14:50:02Z</dcterms:created>
  <dcterms:modified xsi:type="dcterms:W3CDTF">2026-10-16T06:17:18Z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0x010100FC9D634304CDD944BBB6F6B9B96AB5DD</vt:lpwstr>
  </property>
</Properties>
</file>