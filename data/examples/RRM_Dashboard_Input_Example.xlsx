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IMPACT - DBO\Downloads\RRM_Dashboard_Shiny\rrm_dashboard\data\examples\"/>
    </mc:Choice>
  </mc:AlternateContent>
  <xr:revisionPtr revIDLastSave="0" documentId="13_ncr:1_{2B788FBE-C0A2-4310-B86F-944E818D9701}" xr6:coauthVersionLast="47" xr6:coauthVersionMax="47" xr10:uidLastSave="{00000000-0000-0000-0000-000000000000}"/>
  <bookViews>
    <workbookView xWindow="28680" yWindow="-120" windowWidth="29040" windowHeight="16440" activeTab="8" xr2:uid="{00000000-000D-0000-FFFF-FFFF00000000}"/>
  </bookViews>
  <sheets>
    <sheet name="ReadMe" sheetId="1" r:id="rId1"/>
    <sheet name="Coverage" sheetId="2" r:id="rId2"/>
    <sheet name="Alerts" sheetId="3" r:id="rId3"/>
    <sheet name="Routes" sheetId="4" r:id="rId4"/>
    <sheet name="Route Locations" sheetId="5" r:id="rId5"/>
    <sheet name="Assessments" sheetId="6" r:id="rId6"/>
    <sheet name="Needs" sheetId="7" r:id="rId7"/>
    <sheet name="Screening" sheetId="8" r:id="rId8"/>
    <sheet name="Activities" sheetId="9" r:id="rId9"/>
    <sheet name="Transfers" sheetId="10" r:id="rId10"/>
    <sheet name="Metadata" sheetId="11" r:id="rId11"/>
    <sheet name="Field Guide" sheetId="12" r:id="rId12"/>
  </sheets>
  <calcPr calcId="0"/>
</workbook>
</file>

<file path=xl/sharedStrings.xml><?xml version="1.0" encoding="utf-8"?>
<sst xmlns="http://schemas.openxmlformats.org/spreadsheetml/2006/main" count="879" uniqueCount="305">
  <si>
    <t>RRM dashboard input</t>
  </si>
  <si>
    <t>EXAMPLE DATA ONLY</t>
  </si>
  <si>
    <t>Purpose</t>
  </si>
  <si>
    <t>Consolidated inputs for the core dashboard. Every supplied record and route coordinate is fictional.</t>
  </si>
  <si>
    <t>How to start</t>
  </si>
  <si>
    <t>Copy this file to data/RRM_Dashboard_Input.xlsx inside the app project, or set RRM_INPUT_WORKBOOK to its full path.</t>
  </si>
  <si>
    <t>Mode</t>
  </si>
  <si>
    <t>Metadata.mode is demo for this example. For real inputs, replace every example record and set mode to operational.</t>
  </si>
  <si>
    <t>Deployment</t>
  </si>
  <si>
    <t>Save, close the workbook and restart locally. On shinyapps.io, include the input file when deploying and republish after updates.</t>
  </si>
  <si>
    <t>Source separation</t>
  </si>
  <si>
    <t>Reporting workbook remains a separate real intervention source. This file feeds Dashboard overview and the other core pages.</t>
  </si>
  <si>
    <t>Headers</t>
  </si>
  <si>
    <t>Keep worksheet names and row 1 headers exactly as supplied. Add records below row 1. Do not add titles or totals inside input sheets.</t>
  </si>
  <si>
    <t>Dates and numbers</t>
  </si>
  <si>
    <t>Enter real Excel dates displayed yyyy-mm-dd, or ISO date text. Counts are whole non-negative numbers. Blank means unknown, not zero.</t>
  </si>
  <si>
    <t>Identifiers</t>
  </si>
  <si>
    <t>Keep stable IDs. alert_id links pages; assessment_id links needs; route_id links origin and arrival coordinates.</t>
  </si>
  <si>
    <t>Locations</t>
  </si>
  <si>
    <t>Use supplied Pcodes or reference names for administrative areas. Each coordinate must match its route endpoint name.</t>
  </si>
  <si>
    <t>Coordinate review</t>
  </si>
  <si>
    <t>Use Demo only in demo mode. Operational points require Confirmed status, coordinates and provenance. Pending/Rejected points are not drawn.</t>
  </si>
  <si>
    <t>Profile review</t>
  </si>
  <si>
    <t>Use TRUE only for reviewed aggregate narratives. No household-level personal records belong in this workbook.</t>
  </si>
  <si>
    <t>Empty sources</t>
  </si>
  <si>
    <t>Keep the exact headers and delete all data rows when a source is unavailable. Metadata always needs one populated row.</t>
  </si>
  <si>
    <t>Updates</t>
  </si>
  <si>
    <t>The consolidated input is read at app startup. It does not update automatically while the app is running.</t>
  </si>
  <si>
    <t>Workbook formulas</t>
  </si>
  <si>
    <t>Use entered values in input tables. Dashboard calculations and validation run in R.</t>
  </si>
  <si>
    <t>Field guide</t>
  </si>
  <si>
    <t>The Field Guide sheet describes keys, types and controlled options. Dropdowns are provided through row 1000.</t>
  </si>
  <si>
    <t>Sheet</t>
  </si>
  <si>
    <t>One row represents</t>
  </si>
  <si>
    <t>Coverage</t>
  </si>
  <si>
    <t>One territorial responsibility per partner and effective period.</t>
  </si>
  <si>
    <t>Alerts</t>
  </si>
  <si>
    <t>One alert, with separate initial and RNA-stage evidence.</t>
  </si>
  <si>
    <t>Routes</t>
  </si>
  <si>
    <t>One disjoint origin–arrival segment per alert and stage.</t>
  </si>
  <si>
    <t>Route Locations</t>
  </si>
  <si>
    <t>One coordinate record per route endpoint. Origin and arrival use separate rows.</t>
  </si>
  <si>
    <t>Assessments</t>
  </si>
  <si>
    <t>One RNA assessment round linked to an alert.</t>
  </si>
  <si>
    <t>Needs</t>
  </si>
  <si>
    <t>One ranked need per assessment. KII and HESPER remain separate evidence streams.</t>
  </si>
  <si>
    <t>Screening</t>
  </si>
  <si>
    <t>One decision/profile record per alert, community and population group.</t>
  </si>
  <si>
    <t>Activities</t>
  </si>
  <si>
    <t>One intervention/output metric. Keep households, kits and consultations in separate rows.</t>
  </si>
  <si>
    <t>Transfers</t>
  </si>
  <si>
    <t>One responsibility transfer. Transfers add no reach.</t>
  </si>
  <si>
    <t>Metadata</t>
  </si>
  <si>
    <t>Exactly one row identifying mode, source date, version and methods.</t>
  </si>
  <si>
    <t>assignment_id</t>
  </si>
  <si>
    <t>area</t>
  </si>
  <si>
    <t>partner</t>
  </si>
  <si>
    <t>role</t>
  </si>
  <si>
    <t>effective_from</t>
  </si>
  <si>
    <t>effective_to</t>
  </si>
  <si>
    <t>source_version</t>
  </si>
  <si>
    <t>C01</t>
  </si>
  <si>
    <t>Area 1</t>
  </si>
  <si>
    <t>Partner A</t>
  </si>
  <si>
    <t>Primary</t>
  </si>
  <si>
    <t>DEMO-v1</t>
  </si>
  <si>
    <t>C02</t>
  </si>
  <si>
    <t>Area 2</t>
  </si>
  <si>
    <t>Secondary</t>
  </si>
  <si>
    <t>C03</t>
  </si>
  <si>
    <t>Partner B</t>
  </si>
  <si>
    <t>C04</t>
  </si>
  <si>
    <t>Area 3</t>
  </si>
  <si>
    <t>Partner C</t>
  </si>
  <si>
    <t>C05</t>
  </si>
  <si>
    <t>Area 4</t>
  </si>
  <si>
    <t>C06</t>
  </si>
  <si>
    <t>Area 5</t>
  </si>
  <si>
    <t>C07</t>
  </si>
  <si>
    <t>Area 7</t>
  </si>
  <si>
    <t>Unknown</t>
  </si>
  <si>
    <t>C08</t>
  </si>
  <si>
    <t>Area 6</t>
  </si>
  <si>
    <t>alert_id</t>
  </si>
  <si>
    <t>alert_date</t>
  </si>
  <si>
    <t>trigger</t>
  </si>
  <si>
    <t>gla</t>
  </si>
  <si>
    <t>movement</t>
  </si>
  <si>
    <t>alert_hh</t>
  </si>
  <si>
    <t>alert_people</t>
  </si>
  <si>
    <t>alert_severity</t>
  </si>
  <si>
    <t>alert_evidence_date</t>
  </si>
  <si>
    <t>rna_hh</t>
  </si>
  <si>
    <t>rna_people</t>
  </si>
  <si>
    <t>rna_severity</t>
  </si>
  <si>
    <t>rna_evidence_date</t>
  </si>
  <si>
    <t>rationale</t>
  </si>
  <si>
    <t>related_alert</t>
  </si>
  <si>
    <t>overlap_status</t>
  </si>
  <si>
    <t>DEMO-001</t>
  </si>
  <si>
    <t>Conflict</t>
  </si>
  <si>
    <t>IDP</t>
  </si>
  <si>
    <t>High</t>
  </si>
  <si>
    <t>Critical</t>
  </si>
  <si>
    <t>Verified alert-linked caseload meets the 900 HH override (mock-up rule; requires operational approval).</t>
  </si>
  <si>
    <t>DEMO-002</t>
  </si>
  <si>
    <t>Potential overlap; shared households not confirmed</t>
  </si>
  <si>
    <t>RNA verification pending</t>
  </si>
  <si>
    <t>DEMO-003</t>
  </si>
  <si>
    <t>Flood</t>
  </si>
  <si>
    <t>Returnee</t>
  </si>
  <si>
    <t>Moderate</t>
  </si>
  <si>
    <t>Reviewed evidence; no automatic severity calculation.</t>
  </si>
  <si>
    <t>Not assessed</t>
  </si>
  <si>
    <t>route_id</t>
  </si>
  <si>
    <t>origin</t>
  </si>
  <si>
    <t>arrival</t>
  </si>
  <si>
    <t>people</t>
  </si>
  <si>
    <t>households</t>
  </si>
  <si>
    <t>caseload_stage</t>
  </si>
  <si>
    <t>targeted</t>
  </si>
  <si>
    <t>R01</t>
  </si>
  <si>
    <t>Origin A</t>
  </si>
  <si>
    <t>Arrival B</t>
  </si>
  <si>
    <t>RNA</t>
  </si>
  <si>
    <t>Yes</t>
  </si>
  <si>
    <t>R02</t>
  </si>
  <si>
    <t>Arrival C</t>
  </si>
  <si>
    <t>No</t>
  </si>
  <si>
    <t>R03</t>
  </si>
  <si>
    <t>Origin C</t>
  </si>
  <si>
    <t>Arrival D</t>
  </si>
  <si>
    <t>Alert</t>
  </si>
  <si>
    <t>R04</t>
  </si>
  <si>
    <t>Origin E</t>
  </si>
  <si>
    <t>Arrival F</t>
  </si>
  <si>
    <t>endpoint</t>
  </si>
  <si>
    <t>location_name</t>
  </si>
  <si>
    <t>longitude</t>
  </si>
  <si>
    <t>latitude</t>
  </si>
  <si>
    <t>coordinate_source</t>
  </si>
  <si>
    <t>coordinate_status</t>
  </si>
  <si>
    <t>Synthetic layout fixture - not an observed movement</t>
  </si>
  <si>
    <t>Demo</t>
  </si>
  <si>
    <t>assessment_id</t>
  </si>
  <si>
    <t>start_date</t>
  </si>
  <si>
    <t>end_date</t>
  </si>
  <si>
    <t>method</t>
  </si>
  <si>
    <t>kii_sample</t>
  </si>
  <si>
    <t>hh_sample</t>
  </si>
  <si>
    <t>observation_sample</t>
  </si>
  <si>
    <t>coverage_note</t>
  </si>
  <si>
    <t>limitations</t>
  </si>
  <si>
    <t>response_use</t>
  </si>
  <si>
    <t>source</t>
  </si>
  <si>
    <t>DEMO-RNA-01</t>
  </si>
  <si>
    <t>KII + HESPER</t>
  </si>
  <si>
    <t>Arrival B assessed. Arrival C not assessed in this round.</t>
  </si>
  <si>
    <t>Small purposive sample; no population prevalence estimate.</t>
  </si>
  <si>
    <t>Partner confirms food and shelter findings informed the proposed response.</t>
  </si>
  <si>
    <t>DEMO partner summary</t>
  </si>
  <si>
    <t>DEMO-RNA-02</t>
  </si>
  <si>
    <t>Arrival F assessed.</t>
  </si>
  <si>
    <t>Response planning ongoing.</t>
  </si>
  <si>
    <t>need</t>
  </si>
  <si>
    <t>rank</t>
  </si>
  <si>
    <t>kii_summary</t>
  </si>
  <si>
    <t>hesper_serious</t>
  </si>
  <si>
    <t>hesper_valid</t>
  </si>
  <si>
    <t>ranking_note</t>
  </si>
  <si>
    <t>Food</t>
  </si>
  <si>
    <t>Priority need</t>
  </si>
  <si>
    <t>Reviewed top-three ranking; example only</t>
  </si>
  <si>
    <t>Shelter</t>
  </si>
  <si>
    <t>WASH</t>
  </si>
  <si>
    <t>screening_id</t>
  </si>
  <si>
    <t>community</t>
  </si>
  <si>
    <t>decision_date</t>
  </si>
  <si>
    <t>population</t>
  </si>
  <si>
    <t>decision</t>
  </si>
  <si>
    <t>reason</t>
  </si>
  <si>
    <t>reviewed</t>
  </si>
  <si>
    <t>profile_summary</t>
  </si>
  <si>
    <t>analysis_version</t>
  </si>
  <si>
    <t>review_date</t>
  </si>
  <si>
    <t>S01</t>
  </si>
  <si>
    <t>Community B</t>
  </si>
  <si>
    <t>Proceed</t>
  </si>
  <si>
    <t>Community acceptance; assessment and analysis reviewed</t>
  </si>
  <si>
    <t>TRUE</t>
  </si>
  <si>
    <t>Repeated displacement combined with reported household disability was associated with the highest concurrence in the example analysis.</t>
  </si>
  <si>
    <t>S02</t>
  </si>
  <si>
    <t>Host</t>
  </si>
  <si>
    <t>Hosting additional people combined with a larger household was associated with the highest concurrence in the example analysis.</t>
  </si>
  <si>
    <t>S03</t>
  </si>
  <si>
    <t>Community D</t>
  </si>
  <si>
    <t>Not proceeding</t>
  </si>
  <si>
    <t>Community acceptance not obtained</t>
  </si>
  <si>
    <t>FALSE</t>
  </si>
  <si>
    <t>event_id</t>
  </si>
  <si>
    <t>tier</t>
  </si>
  <si>
    <t>modality</t>
  </si>
  <si>
    <t>delivery_partner</t>
  </si>
  <si>
    <t>quantity</t>
  </si>
  <si>
    <t>unit</t>
  </si>
  <si>
    <t>measure_type</t>
  </si>
  <si>
    <t>delivery_status</t>
  </si>
  <si>
    <t>donor</t>
  </si>
  <si>
    <t>delay_reason</t>
  </si>
  <si>
    <t>A01</t>
  </si>
  <si>
    <t>Tier 1</t>
  </si>
  <si>
    <t>Voucher</t>
  </si>
  <si>
    <t>HH</t>
  </si>
  <si>
    <t>Assistance</t>
  </si>
  <si>
    <t>Completed</t>
  </si>
  <si>
    <t>Donor A</t>
  </si>
  <si>
    <t>A02</t>
  </si>
  <si>
    <t>NFI kits</t>
  </si>
  <si>
    <t>kits</t>
  </si>
  <si>
    <t>Service output</t>
  </si>
  <si>
    <t>A03</t>
  </si>
  <si>
    <t>Mobile clinic</t>
  </si>
  <si>
    <t>consultations</t>
  </si>
  <si>
    <t>Donor B</t>
  </si>
  <si>
    <t>A04</t>
  </si>
  <si>
    <t>Tier 2</t>
  </si>
  <si>
    <t>Partner-reported access constraints (illustrative)</t>
  </si>
  <si>
    <t>A05</t>
  </si>
  <si>
    <t>Water kits</t>
  </si>
  <si>
    <t>Donor C</t>
  </si>
  <si>
    <t>transfer_id</t>
  </si>
  <si>
    <t>component</t>
  </si>
  <si>
    <t>from_partner</t>
  </si>
  <si>
    <t>to_partner</t>
  </si>
  <si>
    <t>transfer_date</t>
  </si>
  <si>
    <t>note</t>
  </si>
  <si>
    <t>T01</t>
  </si>
  <si>
    <t>Shelter follow-up</t>
  </si>
  <si>
    <t>Illustrative responsibility transfer; no additional reach is implied.</t>
  </si>
  <si>
    <t>mode</t>
  </si>
  <si>
    <t>source_updated</t>
  </si>
  <si>
    <t>methods_note</t>
  </si>
  <si>
    <t>demo</t>
  </si>
  <si>
    <t>Illustrative data transcribed from the supplied page mock-ups; additional fictional records demonstrate filtering.</t>
  </si>
  <si>
    <t>Worksheet</t>
  </si>
  <si>
    <t>Field</t>
  </si>
  <si>
    <t>Required</t>
  </si>
  <si>
    <t>Type / allowed values</t>
  </si>
  <si>
    <t>Meaning / entry rule</t>
  </si>
  <si>
    <t>Text</t>
  </si>
  <si>
    <t>Stable unique record identifier in its owning worksheet.</t>
  </si>
  <si>
    <t>Primary, Secondary, Unknown</t>
  </si>
  <si>
    <t>Date</t>
  </si>
  <si>
    <t>Enter an Excel date or YYYY-MM-DD.</t>
  </si>
  <si>
    <t>Conditional / optional</t>
  </si>
  <si>
    <t>Blank means assignment remains effective.</t>
  </si>
  <si>
    <t>source version</t>
  </si>
  <si>
    <t>Stable alert key. Must exist in Alerts when referenced by another sheet.</t>
  </si>
  <si>
    <t>Number</t>
  </si>
  <si>
    <t>alert hh</t>
  </si>
  <si>
    <t>alert people</t>
  </si>
  <si>
    <t>alert severity</t>
  </si>
  <si>
    <t>rna hh</t>
  </si>
  <si>
    <t>rna people</t>
  </si>
  <si>
    <t>rna severity</t>
  </si>
  <si>
    <t>related alert</t>
  </si>
  <si>
    <t>overlap status</t>
  </si>
  <si>
    <t>Stable route key. Must exist in Routes when used in Route Locations.</t>
  </si>
  <si>
    <t>Alert, RNA</t>
  </si>
  <si>
    <t>caseload stage</t>
  </si>
  <si>
    <t>Yes, No, Unknown</t>
  </si>
  <si>
    <t>origin, arrival</t>
  </si>
  <si>
    <t>location name</t>
  </si>
  <si>
    <t>WGS84 decimal coordinate. Confirmed operational points require both coordinates.</t>
  </si>
  <si>
    <t>Required for mapped points. Record the reviewed coordinate source.</t>
  </si>
  <si>
    <t>Demo, Confirmed, Pending, Rejected</t>
  </si>
  <si>
    <t>coordinate status</t>
  </si>
  <si>
    <t>Stable assessment key. Must exist in Assessments when used in Needs.</t>
  </si>
  <si>
    <t>kii sample</t>
  </si>
  <si>
    <t>hh sample</t>
  </si>
  <si>
    <t>observation sample</t>
  </si>
  <si>
    <t>coverage note</t>
  </si>
  <si>
    <t>response use</t>
  </si>
  <si>
    <t>kii summary</t>
  </si>
  <si>
    <t>hesper serious</t>
  </si>
  <si>
    <t>Valid denominator for this need; must not exceed the assessment HH sample.</t>
  </si>
  <si>
    <t>Retained as source metadata; not displayed in Light RNA.</t>
  </si>
  <si>
    <t>IDP, Host, Returnee, Other</t>
  </si>
  <si>
    <t>Proceed, Not proceeding, Pending</t>
  </si>
  <si>
    <t>TRUE, FALSE</t>
  </si>
  <si>
    <t>Reviewed aggregate narrative only. Required when reviewed=TRUE.</t>
  </si>
  <si>
    <t>analysis version</t>
  </si>
  <si>
    <t>Tier 1, Tier 2</t>
  </si>
  <si>
    <t>delivery partner</t>
  </si>
  <si>
    <t>Keep HH, kits and consultations distinct. Do not pool different units.</t>
  </si>
  <si>
    <t>Assistance, Service output</t>
  </si>
  <si>
    <t>measure type</t>
  </si>
  <si>
    <t>Completed, Planned, Ongoing, Cancelled</t>
  </si>
  <si>
    <t>delivery status</t>
  </si>
  <si>
    <t>delay reason</t>
  </si>
  <si>
    <t>from partner</t>
  </si>
  <si>
    <t>to partner</t>
  </si>
  <si>
    <t>demo, operational</t>
  </si>
  <si>
    <t>demo for this example; operational only after replacing every fictitious record.</t>
  </si>
  <si>
    <t>methods 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</si>
</sst>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0"/>
  </numFmts>
  <fonts count="4">
    <font>
      <sz val="11"/>
      <name val="Carlito"/>
    </font>
    <font>
      <sz val="10"/>
      <color rgb="FF58585A"/>
      <name val="Arial"/>
    </font>
    <font>
      <b/>
      <sz val="15"/>
      <color rgb="FFEE5859"/>
      <name val="Arial"/>
    </font>
    <font>
      <b/>
      <sz val="10"/>
      <color rgb="FFFFFFFF"/>
      <name val="Arial"/>
    </font>
  </fonts>
  <fills count="3">
    <fill>
      <patternFill patternType="none"/>
    </fill>
    <fill>
      <patternFill patternType="gray125"/>
    </fill>
    <fill>
      <patternFill patternType="solid">
        <fgColor rgb="FF58585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vertical="center" wrapText="1"/>
    </xf>
    <xf numFmtId="164" fontId="1" fillId="0" borderId="0" xfId="0" applyNumberFormat="1" applyFont="1" applyAlignment="1">
      <alignment vertical="center"/>
    </xf>
    <xf numFmtId="164" fontId="3" fillId="2" borderId="0" xfId="0" applyNumberFormat="1" applyFont="1" applyFill="1" applyAlignment="1">
      <alignment vertical="center" wrapText="1"/>
    </xf>
    <xf numFmtId="3" fontId="1" fillId="0" borderId="0" xfId="0" applyNumberFormat="1" applyFont="1" applyAlignment="1">
      <alignment vertical="center"/>
    </xf>
    <xf numFmtId="3" fontId="3" fillId="2" borderId="0" xfId="0" applyNumberFormat="1" applyFont="1" applyFill="1" applyAlignment="1">
      <alignment vertical="center" wrapText="1"/>
    </xf>
    <xf numFmtId="165" fontId="1" fillId="0" borderId="0" xfId="0" applyNumberFormat="1" applyFont="1" applyAlignment="1">
      <alignment vertical="center"/>
    </xf>
    <xf numFmtId="165" fontId="3" fillId="2" borderId="0" xfId="0" applyNumberFormat="1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put_coverage" displayName="Input_coverage" ref="A1:G9" totalsRowShown="0">
  <tableColumns count="7">
    <tableColumn id="1" xr3:uid="{00000000-0010-0000-0000-000001000000}" name="assignment_id"/>
    <tableColumn id="2" xr3:uid="{00000000-0010-0000-0000-000002000000}" name="area"/>
    <tableColumn id="3" xr3:uid="{00000000-0010-0000-0000-000003000000}" name="partner"/>
    <tableColumn id="4" xr3:uid="{00000000-0010-0000-0000-000004000000}" name="role"/>
    <tableColumn id="5" xr3:uid="{00000000-0010-0000-0000-000005000000}" name="effective_from"/>
    <tableColumn id="6" xr3:uid="{00000000-0010-0000-0000-000006000000}" name="effective_to"/>
    <tableColumn id="7" xr3:uid="{00000000-0010-0000-0000-000007000000}" name="source_version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Input_alerts" displayName="Input_alerts" ref="A1:P4" totalsRowShown="0">
  <tableColumns count="16">
    <tableColumn id="1" xr3:uid="{00000000-0010-0000-0100-000001000000}" name="alert_id"/>
    <tableColumn id="2" xr3:uid="{00000000-0010-0000-0100-000002000000}" name="alert_date"/>
    <tableColumn id="3" xr3:uid="{00000000-0010-0000-0100-000003000000}" name="trigger"/>
    <tableColumn id="4" xr3:uid="{00000000-0010-0000-0100-000004000000}" name="gla"/>
    <tableColumn id="5" xr3:uid="{00000000-0010-0000-0100-000005000000}" name="movement"/>
    <tableColumn id="6" xr3:uid="{00000000-0010-0000-0100-000006000000}" name="alert_hh"/>
    <tableColumn id="7" xr3:uid="{00000000-0010-0000-0100-000007000000}" name="alert_people"/>
    <tableColumn id="8" xr3:uid="{00000000-0010-0000-0100-000008000000}" name="alert_severity"/>
    <tableColumn id="9" xr3:uid="{00000000-0010-0000-0100-000009000000}" name="alert_evidence_date"/>
    <tableColumn id="10" xr3:uid="{00000000-0010-0000-0100-00000A000000}" name="rna_hh"/>
    <tableColumn id="11" xr3:uid="{00000000-0010-0000-0100-00000B000000}" name="rna_people"/>
    <tableColumn id="12" xr3:uid="{00000000-0010-0000-0100-00000C000000}" name="rna_severity"/>
    <tableColumn id="13" xr3:uid="{00000000-0010-0000-0100-00000D000000}" name="rna_evidence_date"/>
    <tableColumn id="14" xr3:uid="{00000000-0010-0000-0100-00000E000000}" name="rationale"/>
    <tableColumn id="15" xr3:uid="{00000000-0010-0000-0100-00000F000000}" name="related_alert"/>
    <tableColumn id="16" xr3:uid="{00000000-0010-0000-0100-000010000000}" name="overlap_statu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Input_routes" displayName="Input_routes" ref="A1:H5" totalsRowShown="0">
  <tableColumns count="8">
    <tableColumn id="1" xr3:uid="{00000000-0010-0000-0200-000001000000}" name="route_id"/>
    <tableColumn id="2" xr3:uid="{00000000-0010-0000-0200-000002000000}" name="alert_id"/>
    <tableColumn id="3" xr3:uid="{00000000-0010-0000-0200-000003000000}" name="origin"/>
    <tableColumn id="4" xr3:uid="{00000000-0010-0000-0200-000004000000}" name="arrival"/>
    <tableColumn id="5" xr3:uid="{00000000-0010-0000-0200-000005000000}" name="people"/>
    <tableColumn id="6" xr3:uid="{00000000-0010-0000-0200-000006000000}" name="households"/>
    <tableColumn id="7" xr3:uid="{00000000-0010-0000-0200-000007000000}" name="caseload_stage"/>
    <tableColumn id="8" xr3:uid="{00000000-0010-0000-0200-000008000000}" name="targeted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Input_route_locations" displayName="Input_route_locations" ref="A1:G9" totalsRowShown="0">
  <tableColumns count="7">
    <tableColumn id="1" xr3:uid="{00000000-0010-0000-0300-000001000000}" name="route_id"/>
    <tableColumn id="2" xr3:uid="{00000000-0010-0000-0300-000002000000}" name="endpoint"/>
    <tableColumn id="3" xr3:uid="{00000000-0010-0000-0300-000003000000}" name="location_name"/>
    <tableColumn id="4" xr3:uid="{00000000-0010-0000-0300-000004000000}" name="longitude"/>
    <tableColumn id="5" xr3:uid="{00000000-0010-0000-0300-000005000000}" name="latitude"/>
    <tableColumn id="6" xr3:uid="{00000000-0010-0000-0300-000006000000}" name="coordinate_source"/>
    <tableColumn id="7" xr3:uid="{00000000-0010-0000-0300-000007000000}" name="coordinate_status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Input_assessments" displayName="Input_assessments" ref="A1:M3" totalsRowShown="0">
  <tableColumns count="13">
    <tableColumn id="1" xr3:uid="{00000000-0010-0000-0400-000001000000}" name="assessment_id"/>
    <tableColumn id="2" xr3:uid="{00000000-0010-0000-0400-000002000000}" name="alert_id"/>
    <tableColumn id="3" xr3:uid="{00000000-0010-0000-0400-000003000000}" name="area"/>
    <tableColumn id="4" xr3:uid="{00000000-0010-0000-0400-000004000000}" name="start_date"/>
    <tableColumn id="5" xr3:uid="{00000000-0010-0000-0400-000005000000}" name="end_date"/>
    <tableColumn id="6" xr3:uid="{00000000-0010-0000-0400-000006000000}" name="method"/>
    <tableColumn id="7" xr3:uid="{00000000-0010-0000-0400-000007000000}" name="kii_sample"/>
    <tableColumn id="8" xr3:uid="{00000000-0010-0000-0400-000008000000}" name="hh_sample"/>
    <tableColumn id="9" xr3:uid="{00000000-0010-0000-0400-000009000000}" name="observation_sample"/>
    <tableColumn id="10" xr3:uid="{00000000-0010-0000-0400-00000A000000}" name="coverage_note"/>
    <tableColumn id="11" xr3:uid="{00000000-0010-0000-0400-00000B000000}" name="limitations"/>
    <tableColumn id="12" xr3:uid="{00000000-0010-0000-0400-00000C000000}" name="response_use"/>
    <tableColumn id="13" xr3:uid="{00000000-0010-0000-0400-00000D000000}" name="source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Input_needs" displayName="Input_needs" ref="A1:G7" totalsRowShown="0">
  <tableColumns count="7">
    <tableColumn id="1" xr3:uid="{00000000-0010-0000-0500-000001000000}" name="assessment_id"/>
    <tableColumn id="2" xr3:uid="{00000000-0010-0000-0500-000002000000}" name="need"/>
    <tableColumn id="3" xr3:uid="{00000000-0010-0000-0500-000003000000}" name="rank"/>
    <tableColumn id="4" xr3:uid="{00000000-0010-0000-0500-000004000000}" name="kii_summary"/>
    <tableColumn id="5" xr3:uid="{00000000-0010-0000-0500-000005000000}" name="hesper_serious"/>
    <tableColumn id="6" xr3:uid="{00000000-0010-0000-0500-000006000000}" name="hesper_valid"/>
    <tableColumn id="7" xr3:uid="{00000000-0010-0000-0500-000007000000}" name="ranking_note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Input_screening" displayName="Input_screening" ref="A1:K4" totalsRowShown="0">
  <tableColumns count="11">
    <tableColumn id="1" xr3:uid="{00000000-0010-0000-0600-000001000000}" name="screening_id"/>
    <tableColumn id="2" xr3:uid="{00000000-0010-0000-0600-000002000000}" name="alert_id"/>
    <tableColumn id="3" xr3:uid="{00000000-0010-0000-0600-000003000000}" name="community"/>
    <tableColumn id="4" xr3:uid="{00000000-0010-0000-0600-000004000000}" name="decision_date"/>
    <tableColumn id="5" xr3:uid="{00000000-0010-0000-0600-000005000000}" name="population"/>
    <tableColumn id="6" xr3:uid="{00000000-0010-0000-0600-000006000000}" name="decision"/>
    <tableColumn id="7" xr3:uid="{00000000-0010-0000-0600-000007000000}" name="reason"/>
    <tableColumn id="8" xr3:uid="{00000000-0010-0000-0600-000008000000}" name="reviewed"/>
    <tableColumn id="9" xr3:uid="{00000000-0010-0000-0600-000009000000}" name="profile_summary"/>
    <tableColumn id="10" xr3:uid="{00000000-0010-0000-0600-00000A000000}" name="analysis_version"/>
    <tableColumn id="11" xr3:uid="{00000000-0010-0000-0600-00000B000000}" name="review_date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Input_activities" displayName="Input_activities" ref="A1:M6" totalsRowShown="0">
  <tableColumns count="13">
    <tableColumn id="1" xr3:uid="{00000000-0010-0000-0700-000001000000}" name="event_id"/>
    <tableColumn id="2" xr3:uid="{00000000-0010-0000-0700-000002000000}" name="alert_id"/>
    <tableColumn id="3" xr3:uid="{00000000-0010-0000-0700-000003000000}" name="area"/>
    <tableColumn id="4" xr3:uid="{00000000-0010-0000-0700-000004000000}" name="tier"/>
    <tableColumn id="5" xr3:uid="{00000000-0010-0000-0700-000005000000}" name="modality"/>
    <tableColumn id="6" xr3:uid="{00000000-0010-0000-0700-000006000000}" name="start_date"/>
    <tableColumn id="7" xr3:uid="{00000000-0010-0000-0700-000007000000}" name="delivery_partner"/>
    <tableColumn id="8" xr3:uid="{00000000-0010-0000-0700-000008000000}" name="quantity"/>
    <tableColumn id="9" xr3:uid="{00000000-0010-0000-0700-000009000000}" name="unit"/>
    <tableColumn id="10" xr3:uid="{00000000-0010-0000-0700-00000A000000}" name="measure_type"/>
    <tableColumn id="11" xr3:uid="{00000000-0010-0000-0700-00000B000000}" name="delivery_status"/>
    <tableColumn id="12" xr3:uid="{00000000-0010-0000-0700-00000C000000}" name="donor"/>
    <tableColumn id="13" xr3:uid="{00000000-0010-0000-0700-00000D000000}" name="delay_reason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Input_transfers" displayName="Input_transfers" ref="A1:H2" totalsRowShown="0">
  <tableColumns count="8">
    <tableColumn id="1" xr3:uid="{00000000-0010-0000-0800-000001000000}" name="transfer_id"/>
    <tableColumn id="2" xr3:uid="{00000000-0010-0000-0800-000002000000}" name="alert_id"/>
    <tableColumn id="3" xr3:uid="{00000000-0010-0000-0800-000003000000}" name="area"/>
    <tableColumn id="4" xr3:uid="{00000000-0010-0000-0800-000004000000}" name="component"/>
    <tableColumn id="5" xr3:uid="{00000000-0010-0000-0800-000005000000}" name="from_partner"/>
    <tableColumn id="6" xr3:uid="{00000000-0010-0000-0800-000006000000}" name="to_partner"/>
    <tableColumn id="7" xr3:uid="{00000000-0010-0000-0800-000007000000}" name="transfer_date"/>
    <tableColumn id="8" xr3:uid="{00000000-0010-0000-0800-000008000000}" name="note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Input_metadata" displayName="Input_metadata" ref="A1:D2" totalsRowShown="0">
  <tableColumns count="4">
    <tableColumn id="1" xr3:uid="{00000000-0010-0000-0900-000001000000}" name="mode"/>
    <tableColumn id="2" xr3:uid="{00000000-0010-0000-0900-000002000000}" name="source_updated"/>
    <tableColumn id="3" xr3:uid="{00000000-0010-0000-0900-000003000000}" name="source_version"/>
    <tableColumn id="4" xr3:uid="{00000000-0010-0000-0900-000004000000}" name="methods_not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2"/>
  <sheetViews>
    <sheetView showGridLines="0" workbookViewId="0">
      <selection activeCell="B1" sqref="B1"/>
    </sheetView>
  </sheetViews>
  <sheetFormatPr defaultRowHeight="14"/>
  <cols>
    <col min="1" max="1" width="27.33203125" bestFit="1" customWidth="1"/>
    <col min="2" max="2" width="110" customWidth="1"/>
  </cols>
  <sheetData>
    <row r="1" spans="1:2" ht="25" customHeight="1">
      <c r="A1" s="2" t="s">
        <v>0</v>
      </c>
      <c r="B1" s="2" t="s">
        <v>1</v>
      </c>
    </row>
    <row r="2" spans="1:2" ht="42" customHeight="1">
      <c r="A2" s="1" t="s">
        <v>2</v>
      </c>
      <c r="B2" s="3" t="s">
        <v>3</v>
      </c>
    </row>
    <row r="3" spans="1:2" ht="42" customHeight="1">
      <c r="A3" s="1" t="s">
        <v>4</v>
      </c>
      <c r="B3" s="3" t="s">
        <v>5</v>
      </c>
    </row>
    <row r="4" spans="1:2" ht="42" customHeight="1">
      <c r="A4" s="1" t="s">
        <v>6</v>
      </c>
      <c r="B4" s="3" t="s">
        <v>7</v>
      </c>
    </row>
    <row r="5" spans="1:2" ht="42" customHeight="1">
      <c r="A5" s="1" t="s">
        <v>8</v>
      </c>
      <c r="B5" s="3" t="s">
        <v>9</v>
      </c>
    </row>
    <row r="6" spans="1:2" ht="42" customHeight="1">
      <c r="A6" s="1" t="s">
        <v>10</v>
      </c>
      <c r="B6" s="3" t="s">
        <v>11</v>
      </c>
    </row>
    <row r="7" spans="1:2" ht="42" customHeight="1">
      <c r="A7" s="1" t="s">
        <v>12</v>
      </c>
      <c r="B7" s="3" t="s">
        <v>13</v>
      </c>
    </row>
    <row r="8" spans="1:2" ht="42" customHeight="1">
      <c r="A8" s="1" t="s">
        <v>14</v>
      </c>
      <c r="B8" s="3" t="s">
        <v>15</v>
      </c>
    </row>
    <row r="9" spans="1:2" ht="42" customHeight="1">
      <c r="A9" s="1" t="s">
        <v>16</v>
      </c>
      <c r="B9" s="3" t="s">
        <v>17</v>
      </c>
    </row>
    <row r="10" spans="1:2" ht="42" customHeight="1">
      <c r="A10" s="1" t="s">
        <v>18</v>
      </c>
      <c r="B10" s="3" t="s">
        <v>19</v>
      </c>
    </row>
    <row r="11" spans="1:2" ht="42" customHeight="1">
      <c r="A11" s="1" t="s">
        <v>20</v>
      </c>
      <c r="B11" s="3" t="s">
        <v>21</v>
      </c>
    </row>
    <row r="12" spans="1:2" ht="42" customHeight="1">
      <c r="A12" s="1" t="s">
        <v>22</v>
      </c>
      <c r="B12" s="3" t="s">
        <v>23</v>
      </c>
    </row>
    <row r="13" spans="1:2" ht="42" customHeight="1">
      <c r="A13" s="1" t="s">
        <v>24</v>
      </c>
      <c r="B13" s="3" t="s">
        <v>25</v>
      </c>
    </row>
    <row r="14" spans="1:2" ht="42" customHeight="1">
      <c r="A14" s="1" t="s">
        <v>26</v>
      </c>
      <c r="B14" s="3" t="s">
        <v>27</v>
      </c>
    </row>
    <row r="15" spans="1:2" ht="42" customHeight="1">
      <c r="A15" s="1" t="s">
        <v>28</v>
      </c>
      <c r="B15" s="3" t="s">
        <v>29</v>
      </c>
    </row>
    <row r="16" spans="1:2" ht="42" customHeight="1">
      <c r="A16" s="1" t="s">
        <v>30</v>
      </c>
      <c r="B16" s="3" t="s">
        <v>31</v>
      </c>
    </row>
    <row r="17" spans="1:2" ht="25" customHeight="1">
      <c r="A17" s="4" t="s">
        <v>32</v>
      </c>
      <c r="B17" s="5" t="s">
        <v>33</v>
      </c>
    </row>
    <row r="18" spans="1:2" ht="25" customHeight="1">
      <c r="A18" s="1" t="s">
        <v>34</v>
      </c>
      <c r="B18" s="3" t="s">
        <v>35</v>
      </c>
    </row>
    <row r="19" spans="1:2" ht="25" customHeight="1">
      <c r="A19" s="1" t="s">
        <v>36</v>
      </c>
      <c r="B19" s="3" t="s">
        <v>37</v>
      </c>
    </row>
    <row r="20" spans="1:2" ht="25" customHeight="1">
      <c r="A20" s="1" t="s">
        <v>38</v>
      </c>
      <c r="B20" s="3" t="s">
        <v>39</v>
      </c>
    </row>
    <row r="21" spans="1:2" ht="25" customHeight="1">
      <c r="A21" s="1" t="s">
        <v>40</v>
      </c>
      <c r="B21" s="3" t="s">
        <v>41</v>
      </c>
    </row>
    <row r="22" spans="1:2" ht="25" customHeight="1">
      <c r="A22" s="1" t="s">
        <v>42</v>
      </c>
      <c r="B22" s="3" t="s">
        <v>43</v>
      </c>
    </row>
    <row r="23" spans="1:2" ht="25" customHeight="1">
      <c r="A23" s="1" t="s">
        <v>44</v>
      </c>
      <c r="B23" s="3" t="s">
        <v>45</v>
      </c>
    </row>
    <row r="24" spans="1:2" ht="25" customHeight="1">
      <c r="A24" s="1" t="s">
        <v>46</v>
      </c>
      <c r="B24" s="3" t="s">
        <v>47</v>
      </c>
    </row>
    <row r="25" spans="1:2" ht="25" customHeight="1">
      <c r="A25" s="1" t="s">
        <v>48</v>
      </c>
      <c r="B25" s="3" t="s">
        <v>49</v>
      </c>
    </row>
    <row r="26" spans="1:2" ht="25" customHeight="1">
      <c r="A26" s="1" t="s">
        <v>50</v>
      </c>
      <c r="B26" s="3" t="s">
        <v>51</v>
      </c>
    </row>
    <row r="27" spans="1:2" ht="25" customHeight="1">
      <c r="A27" s="1" t="s">
        <v>52</v>
      </c>
      <c r="B27" s="3" t="s">
        <v>53</v>
      </c>
    </row>
    <row r="28" spans="1:2" ht="25" customHeight="1">
      <c r="A28" s="1"/>
      <c r="B28" s="1"/>
    </row>
    <row r="29" spans="1:2" ht="25" customHeight="1">
      <c r="A29" s="1"/>
      <c r="B29" s="1"/>
    </row>
    <row r="30" spans="1:2" ht="25" customHeight="1">
      <c r="A30" s="1"/>
      <c r="B30" s="1"/>
    </row>
    <row r="31" spans="1:2" ht="25" customHeight="1">
      <c r="A31" s="1"/>
      <c r="B31" s="1"/>
    </row>
    <row r="32" spans="1:2" ht="25" customHeight="1">
      <c r="A32" s="1"/>
      <c r="B3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F1" sqref="F1"/>
    </sheetView>
  </sheetViews>
  <sheetFormatPr defaultRowHeight="14"/>
  <cols>
    <col min="1" max="4" width="18" customWidth="1"/>
    <col min="5" max="5" width="12.08203125" bestFit="1" customWidth="1"/>
    <col min="6" max="6" width="10" bestFit="1" customWidth="1"/>
    <col min="7" max="7" width="13" bestFit="1" customWidth="1"/>
  </cols>
  <sheetData>
    <row r="1" spans="1:7" ht="40" customHeight="1">
      <c r="A1" s="5" t="s">
        <v>54</v>
      </c>
      <c r="B1" s="5" t="s">
        <v>55</v>
      </c>
      <c r="C1" s="5" t="s">
        <v>56</v>
      </c>
      <c r="D1" s="5" t="s">
        <v>57</v>
      </c>
      <c r="E1" s="7" t="s">
        <v>58</v>
      </c>
      <c r="F1" s="7" t="s">
        <v>59</v>
      </c>
      <c r="G1" s="5" t="s">
        <v>60</v>
      </c>
    </row>
    <row r="2" spans="1:7" ht="25" customHeight="1">
      <c r="A2" s="1" t="s">
        <v>61</v>
      </c>
      <c r="B2" s="1" t="s">
        <v>62</v>
      </c>
      <c r="C2" s="1" t="s">
        <v>63</v>
      </c>
      <c r="D2" s="1" t="s">
        <v>64</v>
      </c>
      <c r="E2" s="6">
        <v>46023</v>
      </c>
      <c r="F2" s="6"/>
      <c r="G2" s="1" t="s">
        <v>65</v>
      </c>
    </row>
    <row r="3" spans="1:7" ht="25" customHeight="1">
      <c r="A3" s="1" t="s">
        <v>66</v>
      </c>
      <c r="B3" s="1" t="s">
        <v>67</v>
      </c>
      <c r="C3" s="1" t="s">
        <v>63</v>
      </c>
      <c r="D3" s="1" t="s">
        <v>68</v>
      </c>
      <c r="E3" s="6">
        <v>46023</v>
      </c>
      <c r="F3" s="6"/>
      <c r="G3" s="1" t="s">
        <v>65</v>
      </c>
    </row>
    <row r="4" spans="1:7" ht="25" customHeight="1">
      <c r="A4" s="1" t="s">
        <v>69</v>
      </c>
      <c r="B4" s="1" t="s">
        <v>67</v>
      </c>
      <c r="C4" s="1" t="s">
        <v>70</v>
      </c>
      <c r="D4" s="1" t="s">
        <v>64</v>
      </c>
      <c r="E4" s="6">
        <v>46023</v>
      </c>
      <c r="F4" s="6"/>
      <c r="G4" s="1" t="s">
        <v>65</v>
      </c>
    </row>
    <row r="5" spans="1:7" ht="25" customHeight="1">
      <c r="A5" s="1" t="s">
        <v>71</v>
      </c>
      <c r="B5" s="1" t="s">
        <v>72</v>
      </c>
      <c r="C5" s="1" t="s">
        <v>73</v>
      </c>
      <c r="D5" s="1" t="s">
        <v>64</v>
      </c>
      <c r="E5" s="6">
        <v>46023</v>
      </c>
      <c r="F5" s="6"/>
      <c r="G5" s="1" t="s">
        <v>65</v>
      </c>
    </row>
    <row r="6" spans="1:7" ht="25" customHeight="1">
      <c r="A6" s="1" t="s">
        <v>74</v>
      </c>
      <c r="B6" s="1" t="s">
        <v>75</v>
      </c>
      <c r="C6" s="1" t="s">
        <v>70</v>
      </c>
      <c r="D6" s="1" t="s">
        <v>68</v>
      </c>
      <c r="E6" s="6">
        <v>46023</v>
      </c>
      <c r="F6" s="6"/>
      <c r="G6" s="1" t="s">
        <v>65</v>
      </c>
    </row>
    <row r="7" spans="1:7" ht="25" customHeight="1">
      <c r="A7" s="1" t="s">
        <v>76</v>
      </c>
      <c r="B7" s="1" t="s">
        <v>77</v>
      </c>
      <c r="C7" s="1" t="s">
        <v>63</v>
      </c>
      <c r="D7" s="1" t="s">
        <v>64</v>
      </c>
      <c r="E7" s="6">
        <v>46023</v>
      </c>
      <c r="F7" s="6"/>
      <c r="G7" s="1" t="s">
        <v>65</v>
      </c>
    </row>
    <row r="8" spans="1:7" ht="25" customHeight="1">
      <c r="A8" s="1" t="s">
        <v>78</v>
      </c>
      <c r="B8" s="1" t="s">
        <v>79</v>
      </c>
      <c r="C8" s="1" t="s">
        <v>80</v>
      </c>
      <c r="D8" s="1" t="s">
        <v>80</v>
      </c>
      <c r="E8" s="6">
        <v>46023</v>
      </c>
      <c r="F8" s="6"/>
      <c r="G8" s="1" t="s">
        <v>65</v>
      </c>
    </row>
    <row r="9" spans="1:7" ht="25" customHeight="1">
      <c r="A9" s="1" t="s">
        <v>81</v>
      </c>
      <c r="B9" s="1" t="s">
        <v>82</v>
      </c>
      <c r="C9" s="1" t="s">
        <v>73</v>
      </c>
      <c r="D9" s="1" t="s">
        <v>64</v>
      </c>
      <c r="E9" s="6">
        <v>46023</v>
      </c>
      <c r="F9" s="6"/>
      <c r="G9" s="1" t="s">
        <v>65</v>
      </c>
    </row>
  </sheetData>
  <dataValidations count="1">
    <dataValidation type="list" sqref="D2:D1000" xr:uid="{00000000-0002-0000-0100-000000000000}">
      <formula1>"Primary,Secondary,Unknown"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3" sqref="C3"/>
    </sheetView>
  </sheetViews>
  <sheetFormatPr defaultRowHeight="14"/>
  <cols>
    <col min="1" max="1" width="18" customWidth="1"/>
    <col min="2" max="2" width="9.25" bestFit="1" customWidth="1"/>
    <col min="3" max="8" width="18" customWidth="1"/>
    <col min="9" max="9" width="22" customWidth="1"/>
    <col min="10" max="12" width="18" customWidth="1"/>
    <col min="13" max="13" width="20" customWidth="1"/>
    <col min="14" max="14" width="70" customWidth="1"/>
    <col min="15" max="15" width="18" customWidth="1"/>
    <col min="16" max="16" width="70" customWidth="1"/>
  </cols>
  <sheetData>
    <row r="1" spans="1:16" ht="40" customHeight="1">
      <c r="A1" s="5" t="s">
        <v>83</v>
      </c>
      <c r="B1" s="7" t="s">
        <v>84</v>
      </c>
      <c r="C1" s="5" t="s">
        <v>85</v>
      </c>
      <c r="D1" s="5" t="s">
        <v>86</v>
      </c>
      <c r="E1" s="5" t="s">
        <v>87</v>
      </c>
      <c r="F1" s="9" t="s">
        <v>88</v>
      </c>
      <c r="G1" s="9" t="s">
        <v>89</v>
      </c>
      <c r="H1" s="5" t="s">
        <v>90</v>
      </c>
      <c r="I1" s="7" t="s">
        <v>91</v>
      </c>
      <c r="J1" s="9" t="s">
        <v>92</v>
      </c>
      <c r="K1" s="9" t="s">
        <v>93</v>
      </c>
      <c r="L1" s="5" t="s">
        <v>94</v>
      </c>
      <c r="M1" s="7" t="s">
        <v>95</v>
      </c>
      <c r="N1" s="5" t="s">
        <v>96</v>
      </c>
      <c r="O1" s="5" t="s">
        <v>97</v>
      </c>
      <c r="P1" s="5" t="s">
        <v>98</v>
      </c>
    </row>
    <row r="2" spans="1:16" ht="62" customHeight="1">
      <c r="A2" s="1" t="s">
        <v>99</v>
      </c>
      <c r="B2" s="6">
        <v>46266</v>
      </c>
      <c r="C2" s="1" t="s">
        <v>100</v>
      </c>
      <c r="D2" s="1" t="s">
        <v>63</v>
      </c>
      <c r="E2" s="1" t="s">
        <v>101</v>
      </c>
      <c r="F2" s="8">
        <v>610</v>
      </c>
      <c r="G2" s="8">
        <v>3050</v>
      </c>
      <c r="H2" s="1" t="s">
        <v>102</v>
      </c>
      <c r="I2" s="6">
        <v>46266</v>
      </c>
      <c r="J2" s="8">
        <v>940</v>
      </c>
      <c r="K2" s="8">
        <v>4700</v>
      </c>
      <c r="L2" s="1" t="s">
        <v>103</v>
      </c>
      <c r="M2" s="6">
        <v>46269</v>
      </c>
      <c r="N2" s="3" t="s">
        <v>104</v>
      </c>
      <c r="O2" s="1" t="s">
        <v>105</v>
      </c>
      <c r="P2" s="3" t="s">
        <v>106</v>
      </c>
    </row>
    <row r="3" spans="1:16" ht="62" customHeight="1">
      <c r="A3" s="1" t="s">
        <v>105</v>
      </c>
      <c r="B3" s="6">
        <v>46273</v>
      </c>
      <c r="C3" s="1" t="s">
        <v>100</v>
      </c>
      <c r="D3" s="1" t="s">
        <v>70</v>
      </c>
      <c r="E3" s="1" t="s">
        <v>101</v>
      </c>
      <c r="F3" s="8">
        <v>200</v>
      </c>
      <c r="G3" s="8">
        <v>1000</v>
      </c>
      <c r="H3" s="1" t="s">
        <v>102</v>
      </c>
      <c r="I3" s="6">
        <v>46273</v>
      </c>
      <c r="J3" s="8"/>
      <c r="K3" s="8"/>
      <c r="L3" s="1"/>
      <c r="M3" s="6"/>
      <c r="N3" s="3" t="s">
        <v>107</v>
      </c>
      <c r="O3" s="1" t="s">
        <v>99</v>
      </c>
      <c r="P3" s="3" t="s">
        <v>106</v>
      </c>
    </row>
    <row r="4" spans="1:16" ht="62" customHeight="1">
      <c r="A4" s="1" t="s">
        <v>108</v>
      </c>
      <c r="B4" s="6">
        <v>46281</v>
      </c>
      <c r="C4" s="1" t="s">
        <v>109</v>
      </c>
      <c r="D4" s="1" t="s">
        <v>73</v>
      </c>
      <c r="E4" s="1" t="s">
        <v>110</v>
      </c>
      <c r="F4" s="8">
        <v>80</v>
      </c>
      <c r="G4" s="8">
        <v>360</v>
      </c>
      <c r="H4" s="1" t="s">
        <v>111</v>
      </c>
      <c r="I4" s="6">
        <v>46281</v>
      </c>
      <c r="J4" s="8">
        <v>75</v>
      </c>
      <c r="K4" s="8">
        <v>345</v>
      </c>
      <c r="L4" s="1" t="s">
        <v>111</v>
      </c>
      <c r="M4" s="6">
        <v>46283</v>
      </c>
      <c r="N4" s="3" t="s">
        <v>112</v>
      </c>
      <c r="O4" s="1"/>
      <c r="P4" s="3" t="s">
        <v>113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"/>
    </sheetView>
  </sheetViews>
  <sheetFormatPr defaultRowHeight="14"/>
  <cols>
    <col min="1" max="8" width="18" customWidth="1"/>
  </cols>
  <sheetData>
    <row r="1" spans="1:8" ht="40" customHeight="1">
      <c r="A1" s="5" t="s">
        <v>114</v>
      </c>
      <c r="B1" s="5" t="s">
        <v>83</v>
      </c>
      <c r="C1" s="5" t="s">
        <v>115</v>
      </c>
      <c r="D1" s="5" t="s">
        <v>116</v>
      </c>
      <c r="E1" s="9" t="s">
        <v>117</v>
      </c>
      <c r="F1" s="9" t="s">
        <v>118</v>
      </c>
      <c r="G1" s="5" t="s">
        <v>119</v>
      </c>
      <c r="H1" s="5" t="s">
        <v>120</v>
      </c>
    </row>
    <row r="2" spans="1:8" ht="25" customHeight="1">
      <c r="A2" s="1" t="s">
        <v>121</v>
      </c>
      <c r="B2" s="1" t="s">
        <v>99</v>
      </c>
      <c r="C2" s="1" t="s">
        <v>122</v>
      </c>
      <c r="D2" s="1" t="s">
        <v>123</v>
      </c>
      <c r="E2" s="8">
        <v>2700</v>
      </c>
      <c r="F2" s="8">
        <v>540</v>
      </c>
      <c r="G2" s="1" t="s">
        <v>124</v>
      </c>
      <c r="H2" s="1" t="s">
        <v>125</v>
      </c>
    </row>
    <row r="3" spans="1:8" ht="25" customHeight="1">
      <c r="A3" s="1" t="s">
        <v>126</v>
      </c>
      <c r="B3" s="1" t="s">
        <v>99</v>
      </c>
      <c r="C3" s="1" t="s">
        <v>122</v>
      </c>
      <c r="D3" s="1" t="s">
        <v>127</v>
      </c>
      <c r="E3" s="8">
        <v>2000</v>
      </c>
      <c r="F3" s="8">
        <v>400</v>
      </c>
      <c r="G3" s="1" t="s">
        <v>124</v>
      </c>
      <c r="H3" s="1" t="s">
        <v>128</v>
      </c>
    </row>
    <row r="4" spans="1:8" ht="25" customHeight="1">
      <c r="A4" s="1" t="s">
        <v>129</v>
      </c>
      <c r="B4" s="1" t="s">
        <v>105</v>
      </c>
      <c r="C4" s="1" t="s">
        <v>130</v>
      </c>
      <c r="D4" s="1" t="s">
        <v>131</v>
      </c>
      <c r="E4" s="8">
        <v>1000</v>
      </c>
      <c r="F4" s="8">
        <v>200</v>
      </c>
      <c r="G4" s="1" t="s">
        <v>132</v>
      </c>
      <c r="H4" s="1" t="s">
        <v>80</v>
      </c>
    </row>
    <row r="5" spans="1:8" ht="25" customHeight="1">
      <c r="A5" s="1" t="s">
        <v>133</v>
      </c>
      <c r="B5" s="1" t="s">
        <v>108</v>
      </c>
      <c r="C5" s="1" t="s">
        <v>134</v>
      </c>
      <c r="D5" s="1" t="s">
        <v>135</v>
      </c>
      <c r="E5" s="8">
        <v>345</v>
      </c>
      <c r="F5" s="8">
        <v>75</v>
      </c>
      <c r="G5" s="1" t="s">
        <v>124</v>
      </c>
      <c r="H5" s="1" t="s">
        <v>125</v>
      </c>
    </row>
  </sheetData>
  <dataValidations count="2">
    <dataValidation type="list" sqref="G2:G1000" xr:uid="{00000000-0002-0000-0300-000000000000}">
      <formula1>"Alert,RNA"</formula1>
    </dataValidation>
    <dataValidation type="list" sqref="H2:H1000" xr:uid="{00000000-0002-0000-0300-000001000000}">
      <formula1>"Yes,No,Unknown"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F2" sqref="F2"/>
    </sheetView>
  </sheetViews>
  <sheetFormatPr defaultRowHeight="14"/>
  <cols>
    <col min="1" max="1" width="18" customWidth="1"/>
    <col min="2" max="2" width="7.83203125" bestFit="1" customWidth="1"/>
    <col min="3" max="3" width="12.58203125" bestFit="1" customWidth="1"/>
    <col min="4" max="5" width="18" customWidth="1"/>
    <col min="6" max="6" width="39.08203125" bestFit="1" customWidth="1"/>
    <col min="7" max="7" width="15.08203125" bestFit="1" customWidth="1"/>
  </cols>
  <sheetData>
    <row r="1" spans="1:7" ht="40" customHeight="1">
      <c r="A1" s="5" t="s">
        <v>114</v>
      </c>
      <c r="B1" s="5" t="s">
        <v>136</v>
      </c>
      <c r="C1" s="5" t="s">
        <v>137</v>
      </c>
      <c r="D1" s="11" t="s">
        <v>138</v>
      </c>
      <c r="E1" s="11" t="s">
        <v>139</v>
      </c>
      <c r="F1" s="5" t="s">
        <v>140</v>
      </c>
      <c r="G1" s="5" t="s">
        <v>141</v>
      </c>
    </row>
    <row r="2" spans="1:7" ht="62" customHeight="1">
      <c r="A2" s="1" t="s">
        <v>121</v>
      </c>
      <c r="B2" s="1" t="s">
        <v>115</v>
      </c>
      <c r="C2" s="1" t="s">
        <v>122</v>
      </c>
      <c r="D2" s="10">
        <v>39.700000000000003</v>
      </c>
      <c r="E2" s="10">
        <v>-12.25</v>
      </c>
      <c r="F2" s="3" t="s">
        <v>142</v>
      </c>
      <c r="G2" s="1" t="s">
        <v>143</v>
      </c>
    </row>
    <row r="3" spans="1:7" ht="62" customHeight="1">
      <c r="A3" s="1" t="s">
        <v>121</v>
      </c>
      <c r="B3" s="1" t="s">
        <v>116</v>
      </c>
      <c r="C3" s="1" t="s">
        <v>123</v>
      </c>
      <c r="D3" s="10">
        <v>40.049999999999997</v>
      </c>
      <c r="E3" s="10">
        <v>-12.05</v>
      </c>
      <c r="F3" s="3" t="s">
        <v>142</v>
      </c>
      <c r="G3" s="1" t="s">
        <v>143</v>
      </c>
    </row>
    <row r="4" spans="1:7" ht="62" customHeight="1">
      <c r="A4" s="1" t="s">
        <v>126</v>
      </c>
      <c r="B4" s="1" t="s">
        <v>115</v>
      </c>
      <c r="C4" s="1" t="s">
        <v>122</v>
      </c>
      <c r="D4" s="10">
        <v>39.700000000000003</v>
      </c>
      <c r="E4" s="10">
        <v>-12.25</v>
      </c>
      <c r="F4" s="3" t="s">
        <v>142</v>
      </c>
      <c r="G4" s="1" t="s">
        <v>143</v>
      </c>
    </row>
    <row r="5" spans="1:7" ht="62" customHeight="1">
      <c r="A5" s="1" t="s">
        <v>126</v>
      </c>
      <c r="B5" s="1" t="s">
        <v>116</v>
      </c>
      <c r="C5" s="1" t="s">
        <v>127</v>
      </c>
      <c r="D5" s="10">
        <v>40.15</v>
      </c>
      <c r="E5" s="10">
        <v>-12.55</v>
      </c>
      <c r="F5" s="3" t="s">
        <v>142</v>
      </c>
      <c r="G5" s="1" t="s">
        <v>143</v>
      </c>
    </row>
    <row r="6" spans="1:7" ht="62" customHeight="1">
      <c r="A6" s="1" t="s">
        <v>129</v>
      </c>
      <c r="B6" s="1" t="s">
        <v>115</v>
      </c>
      <c r="C6" s="1" t="s">
        <v>130</v>
      </c>
      <c r="D6" s="10">
        <v>39.9</v>
      </c>
      <c r="E6" s="10">
        <v>-12.75</v>
      </c>
      <c r="F6" s="3" t="s">
        <v>142</v>
      </c>
      <c r="G6" s="1" t="s">
        <v>143</v>
      </c>
    </row>
    <row r="7" spans="1:7" ht="62" customHeight="1">
      <c r="A7" s="1" t="s">
        <v>129</v>
      </c>
      <c r="B7" s="1" t="s">
        <v>116</v>
      </c>
      <c r="C7" s="1" t="s">
        <v>131</v>
      </c>
      <c r="D7" s="10">
        <v>40.200000000000003</v>
      </c>
      <c r="E7" s="10">
        <v>-12.95</v>
      </c>
      <c r="F7" s="3" t="s">
        <v>142</v>
      </c>
      <c r="G7" s="1" t="s">
        <v>143</v>
      </c>
    </row>
    <row r="8" spans="1:7" ht="62" customHeight="1">
      <c r="A8" s="1" t="s">
        <v>133</v>
      </c>
      <c r="B8" s="1" t="s">
        <v>115</v>
      </c>
      <c r="C8" s="1" t="s">
        <v>134</v>
      </c>
      <c r="D8" s="10">
        <v>39.549999999999997</v>
      </c>
      <c r="E8" s="10">
        <v>-13</v>
      </c>
      <c r="F8" s="3" t="s">
        <v>142</v>
      </c>
      <c r="G8" s="1" t="s">
        <v>143</v>
      </c>
    </row>
    <row r="9" spans="1:7" ht="62" customHeight="1">
      <c r="A9" s="1" t="s">
        <v>133</v>
      </c>
      <c r="B9" s="1" t="s">
        <v>116</v>
      </c>
      <c r="C9" s="1" t="s">
        <v>135</v>
      </c>
      <c r="D9" s="10">
        <v>39.950000000000003</v>
      </c>
      <c r="E9" s="10">
        <v>-13.2</v>
      </c>
      <c r="F9" s="3" t="s">
        <v>142</v>
      </c>
      <c r="G9" s="1" t="s">
        <v>143</v>
      </c>
    </row>
  </sheetData>
  <dataValidations count="2">
    <dataValidation type="list" sqref="B2:B1000" xr:uid="{00000000-0002-0000-0400-000000000000}">
      <formula1>"origin,arrival"</formula1>
    </dataValidation>
    <dataValidation type="list" sqref="G2:G1000" xr:uid="{00000000-0002-0000-0400-000001000000}">
      <formula1>"Demo,Confirmed,Pending,Rejected"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"/>
    </sheetView>
  </sheetViews>
  <sheetFormatPr defaultRowHeight="14"/>
  <cols>
    <col min="1" max="8" width="18" customWidth="1"/>
    <col min="9" max="9" width="21" customWidth="1"/>
    <col min="10" max="12" width="70" customWidth="1"/>
    <col min="13" max="13" width="18" customWidth="1"/>
  </cols>
  <sheetData>
    <row r="1" spans="1:13" ht="40" customHeight="1">
      <c r="A1" s="5" t="s">
        <v>144</v>
      </c>
      <c r="B1" s="5" t="s">
        <v>83</v>
      </c>
      <c r="C1" s="5" t="s">
        <v>55</v>
      </c>
      <c r="D1" s="7" t="s">
        <v>145</v>
      </c>
      <c r="E1" s="7" t="s">
        <v>146</v>
      </c>
      <c r="F1" s="5" t="s">
        <v>147</v>
      </c>
      <c r="G1" s="9" t="s">
        <v>148</v>
      </c>
      <c r="H1" s="9" t="s">
        <v>149</v>
      </c>
      <c r="I1" s="9" t="s">
        <v>150</v>
      </c>
      <c r="J1" s="5" t="s">
        <v>151</v>
      </c>
      <c r="K1" s="5" t="s">
        <v>152</v>
      </c>
      <c r="L1" s="5" t="s">
        <v>153</v>
      </c>
      <c r="M1" s="5" t="s">
        <v>154</v>
      </c>
    </row>
    <row r="2" spans="1:13" ht="62" customHeight="1">
      <c r="A2" s="1" t="s">
        <v>155</v>
      </c>
      <c r="B2" s="1" t="s">
        <v>99</v>
      </c>
      <c r="C2" s="1" t="s">
        <v>123</v>
      </c>
      <c r="D2" s="6">
        <v>46268</v>
      </c>
      <c r="E2" s="6">
        <v>46269</v>
      </c>
      <c r="F2" s="1" t="s">
        <v>156</v>
      </c>
      <c r="G2" s="8">
        <v>5</v>
      </c>
      <c r="H2" s="8">
        <v>12</v>
      </c>
      <c r="I2" s="8">
        <v>1</v>
      </c>
      <c r="J2" s="3" t="s">
        <v>157</v>
      </c>
      <c r="K2" s="3" t="s">
        <v>158</v>
      </c>
      <c r="L2" s="3" t="s">
        <v>159</v>
      </c>
      <c r="M2" s="1" t="s">
        <v>160</v>
      </c>
    </row>
    <row r="3" spans="1:13" ht="62" customHeight="1">
      <c r="A3" s="1" t="s">
        <v>161</v>
      </c>
      <c r="B3" s="1" t="s">
        <v>108</v>
      </c>
      <c r="C3" s="1" t="s">
        <v>135</v>
      </c>
      <c r="D3" s="6">
        <v>46282</v>
      </c>
      <c r="E3" s="6">
        <v>46283</v>
      </c>
      <c r="F3" s="1" t="s">
        <v>156</v>
      </c>
      <c r="G3" s="8">
        <v>4</v>
      </c>
      <c r="H3" s="8">
        <v>10</v>
      </c>
      <c r="I3" s="8">
        <v>1</v>
      </c>
      <c r="J3" s="3" t="s">
        <v>162</v>
      </c>
      <c r="K3" s="3" t="s">
        <v>158</v>
      </c>
      <c r="L3" s="3" t="s">
        <v>163</v>
      </c>
      <c r="M3" s="1" t="s">
        <v>160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"/>
    </sheetView>
  </sheetViews>
  <sheetFormatPr defaultRowHeight="14"/>
  <cols>
    <col min="1" max="3" width="18" customWidth="1"/>
    <col min="4" max="4" width="70" customWidth="1"/>
    <col min="5" max="6" width="18" customWidth="1"/>
    <col min="7" max="7" width="70" customWidth="1"/>
  </cols>
  <sheetData>
    <row r="1" spans="1:7" ht="40" customHeight="1">
      <c r="A1" s="5" t="s">
        <v>144</v>
      </c>
      <c r="B1" s="5" t="s">
        <v>164</v>
      </c>
      <c r="C1" s="9" t="s">
        <v>165</v>
      </c>
      <c r="D1" s="5" t="s">
        <v>166</v>
      </c>
      <c r="E1" s="9" t="s">
        <v>167</v>
      </c>
      <c r="F1" s="9" t="s">
        <v>168</v>
      </c>
      <c r="G1" s="5" t="s">
        <v>169</v>
      </c>
    </row>
    <row r="2" spans="1:7" ht="62" customHeight="1">
      <c r="A2" s="1" t="s">
        <v>155</v>
      </c>
      <c r="B2" s="1" t="s">
        <v>170</v>
      </c>
      <c r="C2" s="8">
        <v>1</v>
      </c>
      <c r="D2" s="3" t="s">
        <v>171</v>
      </c>
      <c r="E2" s="8">
        <v>10</v>
      </c>
      <c r="F2" s="8">
        <v>12</v>
      </c>
      <c r="G2" s="3" t="s">
        <v>172</v>
      </c>
    </row>
    <row r="3" spans="1:7" ht="62" customHeight="1">
      <c r="A3" s="1" t="s">
        <v>155</v>
      </c>
      <c r="B3" s="1" t="s">
        <v>173</v>
      </c>
      <c r="C3" s="8">
        <v>2</v>
      </c>
      <c r="D3" s="3" t="s">
        <v>171</v>
      </c>
      <c r="E3" s="8">
        <v>9</v>
      </c>
      <c r="F3" s="8">
        <v>12</v>
      </c>
      <c r="G3" s="3" t="s">
        <v>172</v>
      </c>
    </row>
    <row r="4" spans="1:7" ht="62" customHeight="1">
      <c r="A4" s="1" t="s">
        <v>155</v>
      </c>
      <c r="B4" s="1" t="s">
        <v>174</v>
      </c>
      <c r="C4" s="8">
        <v>3</v>
      </c>
      <c r="D4" s="3" t="s">
        <v>171</v>
      </c>
      <c r="E4" s="8">
        <v>7</v>
      </c>
      <c r="F4" s="8">
        <v>12</v>
      </c>
      <c r="G4" s="3" t="s">
        <v>172</v>
      </c>
    </row>
    <row r="5" spans="1:7" ht="62" customHeight="1">
      <c r="A5" s="1" t="s">
        <v>161</v>
      </c>
      <c r="B5" s="1" t="s">
        <v>174</v>
      </c>
      <c r="C5" s="8">
        <v>1</v>
      </c>
      <c r="D5" s="3" t="s">
        <v>171</v>
      </c>
      <c r="E5" s="8">
        <v>8</v>
      </c>
      <c r="F5" s="8">
        <v>10</v>
      </c>
      <c r="G5" s="3" t="s">
        <v>172</v>
      </c>
    </row>
    <row r="6" spans="1:7" ht="62" customHeight="1">
      <c r="A6" s="1" t="s">
        <v>161</v>
      </c>
      <c r="B6" s="1" t="s">
        <v>170</v>
      </c>
      <c r="C6" s="8">
        <v>2</v>
      </c>
      <c r="D6" s="3" t="s">
        <v>171</v>
      </c>
      <c r="E6" s="8">
        <v>6</v>
      </c>
      <c r="F6" s="8">
        <v>10</v>
      </c>
      <c r="G6" s="3" t="s">
        <v>172</v>
      </c>
    </row>
    <row r="7" spans="1:7" ht="62" customHeight="1">
      <c r="A7" s="1" t="s">
        <v>161</v>
      </c>
      <c r="B7" s="1" t="s">
        <v>173</v>
      </c>
      <c r="C7" s="8">
        <v>3</v>
      </c>
      <c r="D7" s="3" t="s">
        <v>171</v>
      </c>
      <c r="E7" s="8">
        <v>4</v>
      </c>
      <c r="F7" s="8">
        <v>10</v>
      </c>
      <c r="G7" s="3" t="s">
        <v>172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"/>
    </sheetView>
  </sheetViews>
  <sheetFormatPr defaultRowHeight="14"/>
  <cols>
    <col min="1" max="6" width="18" customWidth="1"/>
    <col min="7" max="7" width="70" customWidth="1"/>
    <col min="8" max="8" width="18" customWidth="1"/>
    <col min="9" max="9" width="70" customWidth="1"/>
    <col min="10" max="10" width="19" customWidth="1"/>
    <col min="11" max="11" width="18" customWidth="1"/>
  </cols>
  <sheetData>
    <row r="1" spans="1:11" ht="40" customHeight="1">
      <c r="A1" s="5" t="s">
        <v>175</v>
      </c>
      <c r="B1" s="5" t="s">
        <v>83</v>
      </c>
      <c r="C1" s="5" t="s">
        <v>176</v>
      </c>
      <c r="D1" s="7" t="s">
        <v>177</v>
      </c>
      <c r="E1" s="5" t="s">
        <v>178</v>
      </c>
      <c r="F1" s="5" t="s">
        <v>179</v>
      </c>
      <c r="G1" s="5" t="s">
        <v>180</v>
      </c>
      <c r="H1" s="5" t="s">
        <v>181</v>
      </c>
      <c r="I1" s="5" t="s">
        <v>182</v>
      </c>
      <c r="J1" s="5" t="s">
        <v>183</v>
      </c>
      <c r="K1" s="7" t="s">
        <v>184</v>
      </c>
    </row>
    <row r="2" spans="1:11" ht="62" customHeight="1">
      <c r="A2" s="1" t="s">
        <v>185</v>
      </c>
      <c r="B2" s="1" t="s">
        <v>99</v>
      </c>
      <c r="C2" s="1" t="s">
        <v>186</v>
      </c>
      <c r="D2" s="6">
        <v>46275</v>
      </c>
      <c r="E2" s="1" t="s">
        <v>101</v>
      </c>
      <c r="F2" s="1" t="s">
        <v>187</v>
      </c>
      <c r="G2" s="3" t="s">
        <v>188</v>
      </c>
      <c r="H2" s="1" t="s">
        <v>189</v>
      </c>
      <c r="I2" s="3" t="s">
        <v>190</v>
      </c>
      <c r="J2" s="1" t="s">
        <v>65</v>
      </c>
      <c r="K2" s="6">
        <v>46275</v>
      </c>
    </row>
    <row r="3" spans="1:11" ht="62" customHeight="1">
      <c r="A3" s="1" t="s">
        <v>191</v>
      </c>
      <c r="B3" s="1" t="s">
        <v>99</v>
      </c>
      <c r="C3" s="1" t="s">
        <v>186</v>
      </c>
      <c r="D3" s="6">
        <v>46275</v>
      </c>
      <c r="E3" s="1" t="s">
        <v>192</v>
      </c>
      <c r="F3" s="1" t="s">
        <v>187</v>
      </c>
      <c r="G3" s="3" t="s">
        <v>188</v>
      </c>
      <c r="H3" s="1" t="s">
        <v>189</v>
      </c>
      <c r="I3" s="3" t="s">
        <v>193</v>
      </c>
      <c r="J3" s="1" t="s">
        <v>65</v>
      </c>
      <c r="K3" s="6">
        <v>46275</v>
      </c>
    </row>
    <row r="4" spans="1:11" ht="62" customHeight="1">
      <c r="A4" s="1" t="s">
        <v>194</v>
      </c>
      <c r="B4" s="1" t="s">
        <v>105</v>
      </c>
      <c r="C4" s="1" t="s">
        <v>195</v>
      </c>
      <c r="D4" s="6">
        <v>46277</v>
      </c>
      <c r="E4" s="1" t="s">
        <v>101</v>
      </c>
      <c r="F4" s="1" t="s">
        <v>196</v>
      </c>
      <c r="G4" s="3" t="s">
        <v>197</v>
      </c>
      <c r="H4" s="1" t="s">
        <v>198</v>
      </c>
      <c r="I4" s="3"/>
      <c r="J4" s="1" t="s">
        <v>65</v>
      </c>
      <c r="K4" s="6">
        <v>46277</v>
      </c>
    </row>
  </sheetData>
  <dataValidations count="3">
    <dataValidation type="list" sqref="E2:E1000" xr:uid="{00000000-0002-0000-0700-000000000000}">
      <formula1>"IDP,Host,Returnee,Other"</formula1>
    </dataValidation>
    <dataValidation type="list" sqref="F2:F1000" xr:uid="{00000000-0002-0000-0700-000001000000}">
      <formula1>"Proceed,Not proceeding,Pending"</formula1>
    </dataValidation>
    <dataValidation type="list" sqref="H2:H1000" xr:uid="{00000000-0002-0000-0700-000002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6"/>
  <sheetViews>
    <sheetView showGridLines="0" tabSelected="1" workbookViewId="0">
      <pane xSplit="1" ySplit="1" topLeftCell="B2" activePane="bottomRight" state="frozen"/>
      <selection pane="topRight"/>
      <selection pane="bottomLeft"/>
      <selection pane="bottomRight" activeCell="B2" sqref="B2"/>
    </sheetView>
  </sheetViews>
  <sheetFormatPr defaultRowHeight="14"/>
  <cols>
    <col min="1" max="1" width="18" customWidth="1"/>
    <col min="2" max="2" width="9.08203125" bestFit="1" customWidth="1"/>
    <col min="3" max="3" width="6.9140625" bestFit="1" customWidth="1"/>
    <col min="4" max="4" width="5" bestFit="1" customWidth="1"/>
    <col min="5" max="5" width="9.83203125" bestFit="1" customWidth="1"/>
    <col min="6" max="6" width="9.25" bestFit="1" customWidth="1"/>
    <col min="7" max="7" width="19" customWidth="1"/>
    <col min="8" max="12" width="18" customWidth="1"/>
    <col min="13" max="13" width="70" customWidth="1"/>
  </cols>
  <sheetData>
    <row r="1" spans="1:13" ht="40" customHeight="1">
      <c r="A1" s="5" t="s">
        <v>199</v>
      </c>
      <c r="B1" s="5" t="s">
        <v>83</v>
      </c>
      <c r="C1" s="5" t="s">
        <v>55</v>
      </c>
      <c r="D1" s="5" t="s">
        <v>200</v>
      </c>
      <c r="E1" s="5" t="s">
        <v>201</v>
      </c>
      <c r="F1" s="7" t="s">
        <v>145</v>
      </c>
      <c r="G1" s="5" t="s">
        <v>202</v>
      </c>
      <c r="H1" s="9" t="s">
        <v>203</v>
      </c>
      <c r="I1" s="5" t="s">
        <v>204</v>
      </c>
      <c r="J1" s="5" t="s">
        <v>205</v>
      </c>
      <c r="K1" s="5" t="s">
        <v>206</v>
      </c>
      <c r="L1" s="5" t="s">
        <v>207</v>
      </c>
      <c r="M1" s="5" t="s">
        <v>208</v>
      </c>
    </row>
    <row r="2" spans="1:13" ht="62" customHeight="1">
      <c r="A2" s="1" t="s">
        <v>209</v>
      </c>
      <c r="B2" s="1" t="s">
        <v>99</v>
      </c>
      <c r="C2" s="1" t="s">
        <v>123</v>
      </c>
      <c r="D2" s="1" t="s">
        <v>210</v>
      </c>
      <c r="E2" s="1" t="s">
        <v>211</v>
      </c>
      <c r="F2" s="6">
        <v>46270</v>
      </c>
      <c r="G2" s="1" t="s">
        <v>63</v>
      </c>
      <c r="H2" s="8">
        <v>120</v>
      </c>
      <c r="I2" s="1" t="s">
        <v>212</v>
      </c>
      <c r="J2" s="1" t="s">
        <v>213</v>
      </c>
      <c r="K2" s="1" t="s">
        <v>214</v>
      </c>
      <c r="L2" s="1" t="s">
        <v>215</v>
      </c>
      <c r="M2" s="3"/>
    </row>
    <row r="3" spans="1:13" ht="62" customHeight="1">
      <c r="A3" s="1" t="s">
        <v>216</v>
      </c>
      <c r="B3" s="1" t="s">
        <v>99</v>
      </c>
      <c r="C3" s="1" t="s">
        <v>123</v>
      </c>
      <c r="D3" s="1" t="s">
        <v>210</v>
      </c>
      <c r="E3" s="1" t="s">
        <v>217</v>
      </c>
      <c r="F3" s="6">
        <v>46270</v>
      </c>
      <c r="G3" s="1" t="s">
        <v>63</v>
      </c>
      <c r="H3" s="8">
        <v>120</v>
      </c>
      <c r="I3" s="1" t="s">
        <v>218</v>
      </c>
      <c r="J3" s="1" t="s">
        <v>219</v>
      </c>
      <c r="K3" s="1" t="s">
        <v>214</v>
      </c>
      <c r="L3" s="1" t="s">
        <v>215</v>
      </c>
      <c r="M3" s="3"/>
    </row>
    <row r="4" spans="1:13" ht="62" customHeight="1">
      <c r="A4" s="1" t="s">
        <v>220</v>
      </c>
      <c r="B4" s="1" t="s">
        <v>99</v>
      </c>
      <c r="C4" s="1" t="s">
        <v>123</v>
      </c>
      <c r="D4" s="1" t="s">
        <v>210</v>
      </c>
      <c r="E4" s="1" t="s">
        <v>221</v>
      </c>
      <c r="F4" s="6">
        <v>46277</v>
      </c>
      <c r="G4" s="1" t="s">
        <v>70</v>
      </c>
      <c r="H4" s="8">
        <v>86</v>
      </c>
      <c r="I4" s="1" t="s">
        <v>222</v>
      </c>
      <c r="J4" s="1" t="s">
        <v>219</v>
      </c>
      <c r="K4" s="1" t="s">
        <v>214</v>
      </c>
      <c r="L4" s="1" t="s">
        <v>223</v>
      </c>
      <c r="M4" s="3"/>
    </row>
    <row r="5" spans="1:13" ht="62" customHeight="1">
      <c r="A5" s="1" t="s">
        <v>224</v>
      </c>
      <c r="B5" s="1" t="s">
        <v>99</v>
      </c>
      <c r="C5" s="1" t="s">
        <v>123</v>
      </c>
      <c r="D5" s="1" t="s">
        <v>225</v>
      </c>
      <c r="E5" s="1" t="s">
        <v>211</v>
      </c>
      <c r="F5" s="6">
        <v>46284</v>
      </c>
      <c r="G5" s="1" t="s">
        <v>63</v>
      </c>
      <c r="H5" s="8">
        <v>60</v>
      </c>
      <c r="I5" s="1" t="s">
        <v>212</v>
      </c>
      <c r="J5" s="1" t="s">
        <v>213</v>
      </c>
      <c r="K5" s="1" t="s">
        <v>214</v>
      </c>
      <c r="L5" s="1" t="s">
        <v>215</v>
      </c>
      <c r="M5" s="3" t="s">
        <v>226</v>
      </c>
    </row>
    <row r="6" spans="1:13" ht="62" customHeight="1">
      <c r="A6" s="1" t="s">
        <v>227</v>
      </c>
      <c r="B6" s="1" t="s">
        <v>108</v>
      </c>
      <c r="C6" s="1" t="s">
        <v>135</v>
      </c>
      <c r="D6" s="1" t="s">
        <v>210</v>
      </c>
      <c r="E6" s="1" t="s">
        <v>228</v>
      </c>
      <c r="F6" s="6">
        <v>46286</v>
      </c>
      <c r="G6" s="1" t="s">
        <v>73</v>
      </c>
      <c r="H6" s="8">
        <v>75</v>
      </c>
      <c r="I6" s="1" t="s">
        <v>218</v>
      </c>
      <c r="J6" s="1" t="s">
        <v>219</v>
      </c>
      <c r="K6" s="1" t="s">
        <v>214</v>
      </c>
      <c r="L6" s="1" t="s">
        <v>229</v>
      </c>
      <c r="M6" s="3"/>
    </row>
  </sheetData>
  <dataValidations count="3">
    <dataValidation type="list" sqref="D2:D1000" xr:uid="{00000000-0002-0000-0800-000000000000}">
      <formula1>"Tier 1,Tier 2"</formula1>
    </dataValidation>
    <dataValidation type="list" sqref="J2:J1000" xr:uid="{00000000-0002-0000-0800-000001000000}">
      <formula1>"Assistance,Service output"</formula1>
    </dataValidation>
    <dataValidation type="list" sqref="K2:K1000" xr:uid="{00000000-0002-0000-0800-000002000000}">
      <formula1>"Completed,Planned,Ongoing,Cancelled"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G2" sqref="G2"/>
    </sheetView>
  </sheetViews>
  <sheetFormatPr defaultRowHeight="14"/>
  <cols>
    <col min="1" max="7" width="18" customWidth="1"/>
    <col min="8" max="8" width="70" customWidth="1"/>
  </cols>
  <sheetData>
    <row r="1" spans="1:8" ht="40" customHeight="1">
      <c r="A1" s="5" t="s">
        <v>230</v>
      </c>
      <c r="B1" s="5" t="s">
        <v>83</v>
      </c>
      <c r="C1" s="5" t="s">
        <v>55</v>
      </c>
      <c r="D1" s="5" t="s">
        <v>231</v>
      </c>
      <c r="E1" s="5" t="s">
        <v>232</v>
      </c>
      <c r="F1" s="5" t="s">
        <v>233</v>
      </c>
      <c r="G1" s="7" t="s">
        <v>234</v>
      </c>
      <c r="H1" s="5" t="s">
        <v>235</v>
      </c>
    </row>
    <row r="2" spans="1:8" ht="62" customHeight="1">
      <c r="A2" s="1" t="s">
        <v>236</v>
      </c>
      <c r="B2" s="1" t="s">
        <v>99</v>
      </c>
      <c r="C2" s="1" t="s">
        <v>123</v>
      </c>
      <c r="D2" s="1" t="s">
        <v>237</v>
      </c>
      <c r="E2" s="1" t="s">
        <v>63</v>
      </c>
      <c r="F2" s="1" t="s">
        <v>70</v>
      </c>
      <c r="G2" s="6">
        <v>46285</v>
      </c>
      <c r="H2" s="3" t="s">
        <v>238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"/>
    </sheetView>
  </sheetViews>
  <sheetFormatPr defaultRowHeight="14"/>
  <cols>
    <col min="1" max="3" width="18" customWidth="1"/>
    <col min="4" max="4" width="70" customWidth="1"/>
  </cols>
  <sheetData>
    <row r="1" spans="1:4" ht="40" customHeight="1">
      <c r="A1" s="5" t="s">
        <v>239</v>
      </c>
      <c r="B1" s="7" t="s">
        <v>240</v>
      </c>
      <c r="C1" s="5" t="s">
        <v>60</v>
      </c>
      <c r="D1" s="5" t="s">
        <v>241</v>
      </c>
    </row>
    <row r="2" spans="1:4" ht="62" customHeight="1">
      <c r="A2" s="1" t="s">
        <v>242</v>
      </c>
      <c r="B2" s="6">
        <v>46295</v>
      </c>
      <c r="C2" s="1" t="s">
        <v>65</v>
      </c>
      <c r="D2" s="3" t="s">
        <v>243</v>
      </c>
    </row>
  </sheetData>
  <dataValidations count="1">
    <dataValidation type="list" sqref="A2:A1000" xr:uid="{00000000-0002-0000-0A00-000000000000}">
      <formula1>"demo,operational"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9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0" customWidth="1"/>
    <col min="2" max="2" width="26" customWidth="1"/>
    <col min="3" max="3" width="24" customWidth="1"/>
    <col min="4" max="4" width="48" customWidth="1"/>
    <col min="5" max="5" width="90" customWidth="1"/>
  </cols>
  <sheetData>
    <row r="1" spans="1:5" ht="34" customHeight="1">
      <c r="A1" s="4" t="s">
        <v>244</v>
      </c>
      <c r="B1" s="4" t="s">
        <v>245</v>
      </c>
      <c r="C1" s="4" t="s">
        <v>246</v>
      </c>
      <c r="D1" s="5" t="s">
        <v>247</v>
      </c>
      <c r="E1" s="5" t="s">
        <v>248</v>
      </c>
    </row>
    <row r="2" spans="1:5" ht="34" customHeight="1">
      <c r="A2" s="1" t="s">
        <v>34</v>
      </c>
      <c r="B2" s="1" t="s">
        <v>54</v>
      </c>
      <c r="C2" s="1" t="s">
        <v>125</v>
      </c>
      <c r="D2" s="3" t="s">
        <v>249</v>
      </c>
      <c r="E2" s="3" t="s">
        <v>250</v>
      </c>
    </row>
    <row r="3" spans="1:5" ht="34" customHeight="1">
      <c r="A3" s="1" t="s">
        <v>34</v>
      </c>
      <c r="B3" s="1" t="s">
        <v>55</v>
      </c>
      <c r="C3" s="1" t="s">
        <v>125</v>
      </c>
      <c r="D3" s="3" t="s">
        <v>249</v>
      </c>
      <c r="E3" s="3" t="s">
        <v>55</v>
      </c>
    </row>
    <row r="4" spans="1:5" ht="34" customHeight="1">
      <c r="A4" s="1" t="s">
        <v>34</v>
      </c>
      <c r="B4" s="1" t="s">
        <v>56</v>
      </c>
      <c r="C4" s="1" t="s">
        <v>125</v>
      </c>
      <c r="D4" s="3" t="s">
        <v>249</v>
      </c>
      <c r="E4" s="3" t="s">
        <v>56</v>
      </c>
    </row>
    <row r="5" spans="1:5" ht="34" customHeight="1">
      <c r="A5" s="1" t="s">
        <v>34</v>
      </c>
      <c r="B5" s="1" t="s">
        <v>57</v>
      </c>
      <c r="C5" s="1" t="s">
        <v>125</v>
      </c>
      <c r="D5" s="3" t="s">
        <v>251</v>
      </c>
      <c r="E5" s="3" t="s">
        <v>57</v>
      </c>
    </row>
    <row r="6" spans="1:5" ht="34" customHeight="1">
      <c r="A6" s="1" t="s">
        <v>34</v>
      </c>
      <c r="B6" s="1" t="s">
        <v>58</v>
      </c>
      <c r="C6" s="1" t="s">
        <v>125</v>
      </c>
      <c r="D6" s="3" t="s">
        <v>252</v>
      </c>
      <c r="E6" s="3" t="s">
        <v>253</v>
      </c>
    </row>
    <row r="7" spans="1:5" ht="34" customHeight="1">
      <c r="A7" s="1" t="s">
        <v>34</v>
      </c>
      <c r="B7" s="1" t="s">
        <v>59</v>
      </c>
      <c r="C7" s="1" t="s">
        <v>254</v>
      </c>
      <c r="D7" s="3" t="s">
        <v>252</v>
      </c>
      <c r="E7" s="3" t="s">
        <v>255</v>
      </c>
    </row>
    <row r="8" spans="1:5" ht="34" customHeight="1">
      <c r="A8" s="1" t="s">
        <v>34</v>
      </c>
      <c r="B8" s="1" t="s">
        <v>60</v>
      </c>
      <c r="C8" s="1" t="s">
        <v>125</v>
      </c>
      <c r="D8" s="3" t="s">
        <v>249</v>
      </c>
      <c r="E8" s="3" t="s">
        <v>256</v>
      </c>
    </row>
    <row r="9" spans="1:5" ht="34" customHeight="1">
      <c r="A9" s="1" t="s">
        <v>36</v>
      </c>
      <c r="B9" s="1" t="s">
        <v>83</v>
      </c>
      <c r="C9" s="1" t="s">
        <v>125</v>
      </c>
      <c r="D9" s="3" t="s">
        <v>249</v>
      </c>
      <c r="E9" s="3" t="s">
        <v>257</v>
      </c>
    </row>
    <row r="10" spans="1:5" ht="34" customHeight="1">
      <c r="A10" s="1" t="s">
        <v>36</v>
      </c>
      <c r="B10" s="1" t="s">
        <v>84</v>
      </c>
      <c r="C10" s="1" t="s">
        <v>125</v>
      </c>
      <c r="D10" s="3" t="s">
        <v>252</v>
      </c>
      <c r="E10" s="3" t="s">
        <v>253</v>
      </c>
    </row>
    <row r="11" spans="1:5" ht="34" customHeight="1">
      <c r="A11" s="1" t="s">
        <v>36</v>
      </c>
      <c r="B11" s="1" t="s">
        <v>85</v>
      </c>
      <c r="C11" s="1" t="s">
        <v>125</v>
      </c>
      <c r="D11" s="3" t="s">
        <v>249</v>
      </c>
      <c r="E11" s="3" t="s">
        <v>85</v>
      </c>
    </row>
    <row r="12" spans="1:5" ht="34" customHeight="1">
      <c r="A12" s="1" t="s">
        <v>36</v>
      </c>
      <c r="B12" s="1" t="s">
        <v>86</v>
      </c>
      <c r="C12" s="1" t="s">
        <v>125</v>
      </c>
      <c r="D12" s="3" t="s">
        <v>249</v>
      </c>
      <c r="E12" s="3" t="s">
        <v>86</v>
      </c>
    </row>
    <row r="13" spans="1:5" ht="34" customHeight="1">
      <c r="A13" s="1" t="s">
        <v>36</v>
      </c>
      <c r="B13" s="1" t="s">
        <v>87</v>
      </c>
      <c r="C13" s="1" t="s">
        <v>125</v>
      </c>
      <c r="D13" s="3" t="s">
        <v>249</v>
      </c>
      <c r="E13" s="3" t="s">
        <v>87</v>
      </c>
    </row>
    <row r="14" spans="1:5" ht="34" customHeight="1">
      <c r="A14" s="1" t="s">
        <v>36</v>
      </c>
      <c r="B14" s="1" t="s">
        <v>88</v>
      </c>
      <c r="C14" s="1" t="s">
        <v>254</v>
      </c>
      <c r="D14" s="3" t="s">
        <v>258</v>
      </c>
      <c r="E14" s="3" t="s">
        <v>259</v>
      </c>
    </row>
    <row r="15" spans="1:5" ht="34" customHeight="1">
      <c r="A15" s="1" t="s">
        <v>36</v>
      </c>
      <c r="B15" s="1" t="s">
        <v>89</v>
      </c>
      <c r="C15" s="1" t="s">
        <v>254</v>
      </c>
      <c r="D15" s="3" t="s">
        <v>258</v>
      </c>
      <c r="E15" s="3" t="s">
        <v>260</v>
      </c>
    </row>
    <row r="16" spans="1:5" ht="34" customHeight="1">
      <c r="A16" s="1" t="s">
        <v>36</v>
      </c>
      <c r="B16" s="1" t="s">
        <v>90</v>
      </c>
      <c r="C16" s="1" t="s">
        <v>254</v>
      </c>
      <c r="D16" s="3" t="s">
        <v>249</v>
      </c>
      <c r="E16" s="3" t="s">
        <v>261</v>
      </c>
    </row>
    <row r="17" spans="1:5" ht="34" customHeight="1">
      <c r="A17" s="1" t="s">
        <v>36</v>
      </c>
      <c r="B17" s="1" t="s">
        <v>91</v>
      </c>
      <c r="C17" s="1" t="s">
        <v>125</v>
      </c>
      <c r="D17" s="3" t="s">
        <v>252</v>
      </c>
      <c r="E17" s="3" t="s">
        <v>253</v>
      </c>
    </row>
    <row r="18" spans="1:5" ht="34" customHeight="1">
      <c r="A18" s="1" t="s">
        <v>36</v>
      </c>
      <c r="B18" s="1" t="s">
        <v>92</v>
      </c>
      <c r="C18" s="1" t="s">
        <v>254</v>
      </c>
      <c r="D18" s="3" t="s">
        <v>258</v>
      </c>
      <c r="E18" s="3" t="s">
        <v>262</v>
      </c>
    </row>
    <row r="19" spans="1:5" ht="34" customHeight="1">
      <c r="A19" s="1" t="s">
        <v>36</v>
      </c>
      <c r="B19" s="1" t="s">
        <v>93</v>
      </c>
      <c r="C19" s="1" t="s">
        <v>254</v>
      </c>
      <c r="D19" s="3" t="s">
        <v>258</v>
      </c>
      <c r="E19" s="3" t="s">
        <v>263</v>
      </c>
    </row>
    <row r="20" spans="1:5" ht="34" customHeight="1">
      <c r="A20" s="1" t="s">
        <v>36</v>
      </c>
      <c r="B20" s="1" t="s">
        <v>94</v>
      </c>
      <c r="C20" s="1" t="s">
        <v>254</v>
      </c>
      <c r="D20" s="3" t="s">
        <v>249</v>
      </c>
      <c r="E20" s="3" t="s">
        <v>264</v>
      </c>
    </row>
    <row r="21" spans="1:5" ht="34" customHeight="1">
      <c r="A21" s="1" t="s">
        <v>36</v>
      </c>
      <c r="B21" s="1" t="s">
        <v>95</v>
      </c>
      <c r="C21" s="1" t="s">
        <v>254</v>
      </c>
      <c r="D21" s="3" t="s">
        <v>252</v>
      </c>
      <c r="E21" s="3" t="s">
        <v>253</v>
      </c>
    </row>
    <row r="22" spans="1:5" ht="34" customHeight="1">
      <c r="A22" s="1" t="s">
        <v>36</v>
      </c>
      <c r="B22" s="1" t="s">
        <v>96</v>
      </c>
      <c r="C22" s="1" t="s">
        <v>254</v>
      </c>
      <c r="D22" s="3" t="s">
        <v>249</v>
      </c>
      <c r="E22" s="3" t="s">
        <v>96</v>
      </c>
    </row>
    <row r="23" spans="1:5" ht="34" customHeight="1">
      <c r="A23" s="1" t="s">
        <v>36</v>
      </c>
      <c r="B23" s="1" t="s">
        <v>97</v>
      </c>
      <c r="C23" s="1" t="s">
        <v>254</v>
      </c>
      <c r="D23" s="3" t="s">
        <v>249</v>
      </c>
      <c r="E23" s="3" t="s">
        <v>265</v>
      </c>
    </row>
    <row r="24" spans="1:5" ht="34" customHeight="1">
      <c r="A24" s="1" t="s">
        <v>36</v>
      </c>
      <c r="B24" s="1" t="s">
        <v>98</v>
      </c>
      <c r="C24" s="1" t="s">
        <v>254</v>
      </c>
      <c r="D24" s="3" t="s">
        <v>249</v>
      </c>
      <c r="E24" s="3" t="s">
        <v>266</v>
      </c>
    </row>
    <row r="25" spans="1:5" ht="34" customHeight="1">
      <c r="A25" s="1" t="s">
        <v>38</v>
      </c>
      <c r="B25" s="1" t="s">
        <v>114</v>
      </c>
      <c r="C25" s="1" t="s">
        <v>125</v>
      </c>
      <c r="D25" s="3" t="s">
        <v>249</v>
      </c>
      <c r="E25" s="3" t="s">
        <v>267</v>
      </c>
    </row>
    <row r="26" spans="1:5" ht="34" customHeight="1">
      <c r="A26" s="1" t="s">
        <v>38</v>
      </c>
      <c r="B26" s="1" t="s">
        <v>83</v>
      </c>
      <c r="C26" s="1" t="s">
        <v>125</v>
      </c>
      <c r="D26" s="3" t="s">
        <v>249</v>
      </c>
      <c r="E26" s="3" t="s">
        <v>257</v>
      </c>
    </row>
    <row r="27" spans="1:5" ht="34" customHeight="1">
      <c r="A27" s="1" t="s">
        <v>38</v>
      </c>
      <c r="B27" s="1" t="s">
        <v>115</v>
      </c>
      <c r="C27" s="1" t="s">
        <v>125</v>
      </c>
      <c r="D27" s="3" t="s">
        <v>249</v>
      </c>
      <c r="E27" s="3" t="s">
        <v>115</v>
      </c>
    </row>
    <row r="28" spans="1:5" ht="34" customHeight="1">
      <c r="A28" s="1" t="s">
        <v>38</v>
      </c>
      <c r="B28" s="1" t="s">
        <v>116</v>
      </c>
      <c r="C28" s="1" t="s">
        <v>125</v>
      </c>
      <c r="D28" s="3" t="s">
        <v>249</v>
      </c>
      <c r="E28" s="3" t="s">
        <v>116</v>
      </c>
    </row>
    <row r="29" spans="1:5" ht="34" customHeight="1">
      <c r="A29" s="1" t="s">
        <v>38</v>
      </c>
      <c r="B29" s="1" t="s">
        <v>117</v>
      </c>
      <c r="C29" s="1" t="s">
        <v>254</v>
      </c>
      <c r="D29" s="3" t="s">
        <v>258</v>
      </c>
      <c r="E29" s="3" t="s">
        <v>117</v>
      </c>
    </row>
    <row r="30" spans="1:5" ht="34" customHeight="1">
      <c r="A30" s="1" t="s">
        <v>38</v>
      </c>
      <c r="B30" s="1" t="s">
        <v>118</v>
      </c>
      <c r="C30" s="1" t="s">
        <v>254</v>
      </c>
      <c r="D30" s="3" t="s">
        <v>258</v>
      </c>
      <c r="E30" s="3" t="s">
        <v>118</v>
      </c>
    </row>
    <row r="31" spans="1:5" ht="34" customHeight="1">
      <c r="A31" s="1" t="s">
        <v>38</v>
      </c>
      <c r="B31" s="1" t="s">
        <v>119</v>
      </c>
      <c r="C31" s="1" t="s">
        <v>125</v>
      </c>
      <c r="D31" s="3" t="s">
        <v>268</v>
      </c>
      <c r="E31" s="3" t="s">
        <v>269</v>
      </c>
    </row>
    <row r="32" spans="1:5" ht="34" customHeight="1">
      <c r="A32" s="1" t="s">
        <v>38</v>
      </c>
      <c r="B32" s="1" t="s">
        <v>120</v>
      </c>
      <c r="C32" s="1" t="s">
        <v>125</v>
      </c>
      <c r="D32" s="3" t="s">
        <v>270</v>
      </c>
      <c r="E32" s="3" t="s">
        <v>120</v>
      </c>
    </row>
    <row r="33" spans="1:5" ht="34" customHeight="1">
      <c r="A33" s="1" t="s">
        <v>40</v>
      </c>
      <c r="B33" s="1" t="s">
        <v>114</v>
      </c>
      <c r="C33" s="1" t="s">
        <v>125</v>
      </c>
      <c r="D33" s="3" t="s">
        <v>249</v>
      </c>
      <c r="E33" s="3" t="s">
        <v>267</v>
      </c>
    </row>
    <row r="34" spans="1:5" ht="34" customHeight="1">
      <c r="A34" s="1" t="s">
        <v>40</v>
      </c>
      <c r="B34" s="1" t="s">
        <v>136</v>
      </c>
      <c r="C34" s="1" t="s">
        <v>125</v>
      </c>
      <c r="D34" s="3" t="s">
        <v>271</v>
      </c>
      <c r="E34" s="3" t="s">
        <v>136</v>
      </c>
    </row>
    <row r="35" spans="1:5" ht="34" customHeight="1">
      <c r="A35" s="1" t="s">
        <v>40</v>
      </c>
      <c r="B35" s="1" t="s">
        <v>137</v>
      </c>
      <c r="C35" s="1" t="s">
        <v>125</v>
      </c>
      <c r="D35" s="3" t="s">
        <v>249</v>
      </c>
      <c r="E35" s="3" t="s">
        <v>272</v>
      </c>
    </row>
    <row r="36" spans="1:5" ht="34" customHeight="1">
      <c r="A36" s="1" t="s">
        <v>40</v>
      </c>
      <c r="B36" s="1" t="s">
        <v>138</v>
      </c>
      <c r="C36" s="1" t="s">
        <v>254</v>
      </c>
      <c r="D36" s="3" t="s">
        <v>258</v>
      </c>
      <c r="E36" s="3" t="s">
        <v>273</v>
      </c>
    </row>
    <row r="37" spans="1:5" ht="34" customHeight="1">
      <c r="A37" s="1" t="s">
        <v>40</v>
      </c>
      <c r="B37" s="1" t="s">
        <v>139</v>
      </c>
      <c r="C37" s="1" t="s">
        <v>254</v>
      </c>
      <c r="D37" s="3" t="s">
        <v>258</v>
      </c>
      <c r="E37" s="3" t="s">
        <v>273</v>
      </c>
    </row>
    <row r="38" spans="1:5" ht="34" customHeight="1">
      <c r="A38" s="1" t="s">
        <v>40</v>
      </c>
      <c r="B38" s="1" t="s">
        <v>140</v>
      </c>
      <c r="C38" s="1" t="s">
        <v>254</v>
      </c>
      <c r="D38" s="3" t="s">
        <v>249</v>
      </c>
      <c r="E38" s="3" t="s">
        <v>274</v>
      </c>
    </row>
    <row r="39" spans="1:5" ht="34" customHeight="1">
      <c r="A39" s="1" t="s">
        <v>40</v>
      </c>
      <c r="B39" s="1" t="s">
        <v>141</v>
      </c>
      <c r="C39" s="1" t="s">
        <v>125</v>
      </c>
      <c r="D39" s="3" t="s">
        <v>275</v>
      </c>
      <c r="E39" s="3" t="s">
        <v>276</v>
      </c>
    </row>
    <row r="40" spans="1:5" ht="34" customHeight="1">
      <c r="A40" s="1" t="s">
        <v>42</v>
      </c>
      <c r="B40" s="1" t="s">
        <v>144</v>
      </c>
      <c r="C40" s="1" t="s">
        <v>125</v>
      </c>
      <c r="D40" s="3" t="s">
        <v>249</v>
      </c>
      <c r="E40" s="3" t="s">
        <v>277</v>
      </c>
    </row>
    <row r="41" spans="1:5" ht="34" customHeight="1">
      <c r="A41" s="1" t="s">
        <v>42</v>
      </c>
      <c r="B41" s="1" t="s">
        <v>83</v>
      </c>
      <c r="C41" s="1" t="s">
        <v>125</v>
      </c>
      <c r="D41" s="3" t="s">
        <v>249</v>
      </c>
      <c r="E41" s="3" t="s">
        <v>257</v>
      </c>
    </row>
    <row r="42" spans="1:5" ht="34" customHeight="1">
      <c r="A42" s="1" t="s">
        <v>42</v>
      </c>
      <c r="B42" s="1" t="s">
        <v>55</v>
      </c>
      <c r="C42" s="1" t="s">
        <v>125</v>
      </c>
      <c r="D42" s="3" t="s">
        <v>249</v>
      </c>
      <c r="E42" s="3" t="s">
        <v>55</v>
      </c>
    </row>
    <row r="43" spans="1:5" ht="34" customHeight="1">
      <c r="A43" s="1" t="s">
        <v>42</v>
      </c>
      <c r="B43" s="1" t="s">
        <v>145</v>
      </c>
      <c r="C43" s="1" t="s">
        <v>125</v>
      </c>
      <c r="D43" s="3" t="s">
        <v>252</v>
      </c>
      <c r="E43" s="3" t="s">
        <v>253</v>
      </c>
    </row>
    <row r="44" spans="1:5" ht="34" customHeight="1">
      <c r="A44" s="1" t="s">
        <v>42</v>
      </c>
      <c r="B44" s="1" t="s">
        <v>146</v>
      </c>
      <c r="C44" s="1" t="s">
        <v>125</v>
      </c>
      <c r="D44" s="3" t="s">
        <v>252</v>
      </c>
      <c r="E44" s="3" t="s">
        <v>253</v>
      </c>
    </row>
    <row r="45" spans="1:5" ht="34" customHeight="1">
      <c r="A45" s="1" t="s">
        <v>42</v>
      </c>
      <c r="B45" s="1" t="s">
        <v>147</v>
      </c>
      <c r="C45" s="1" t="s">
        <v>125</v>
      </c>
      <c r="D45" s="3" t="s">
        <v>249</v>
      </c>
      <c r="E45" s="3" t="s">
        <v>147</v>
      </c>
    </row>
    <row r="46" spans="1:5" ht="34" customHeight="1">
      <c r="A46" s="1" t="s">
        <v>42</v>
      </c>
      <c r="B46" s="1" t="s">
        <v>148</v>
      </c>
      <c r="C46" s="1" t="s">
        <v>125</v>
      </c>
      <c r="D46" s="3" t="s">
        <v>258</v>
      </c>
      <c r="E46" s="3" t="s">
        <v>278</v>
      </c>
    </row>
    <row r="47" spans="1:5" ht="34" customHeight="1">
      <c r="A47" s="1" t="s">
        <v>42</v>
      </c>
      <c r="B47" s="1" t="s">
        <v>149</v>
      </c>
      <c r="C47" s="1" t="s">
        <v>125</v>
      </c>
      <c r="D47" s="3" t="s">
        <v>258</v>
      </c>
      <c r="E47" s="3" t="s">
        <v>279</v>
      </c>
    </row>
    <row r="48" spans="1:5" ht="34" customHeight="1">
      <c r="A48" s="1" t="s">
        <v>42</v>
      </c>
      <c r="B48" s="1" t="s">
        <v>150</v>
      </c>
      <c r="C48" s="1" t="s">
        <v>125</v>
      </c>
      <c r="D48" s="3" t="s">
        <v>258</v>
      </c>
      <c r="E48" s="3" t="s">
        <v>280</v>
      </c>
    </row>
    <row r="49" spans="1:5" ht="34" customHeight="1">
      <c r="A49" s="1" t="s">
        <v>42</v>
      </c>
      <c r="B49" s="1" t="s">
        <v>151</v>
      </c>
      <c r="C49" s="1" t="s">
        <v>254</v>
      </c>
      <c r="D49" s="3" t="s">
        <v>249</v>
      </c>
      <c r="E49" s="3" t="s">
        <v>281</v>
      </c>
    </row>
    <row r="50" spans="1:5" ht="34" customHeight="1">
      <c r="A50" s="1" t="s">
        <v>42</v>
      </c>
      <c r="B50" s="1" t="s">
        <v>152</v>
      </c>
      <c r="C50" s="1" t="s">
        <v>254</v>
      </c>
      <c r="D50" s="3" t="s">
        <v>249</v>
      </c>
      <c r="E50" s="3" t="s">
        <v>152</v>
      </c>
    </row>
    <row r="51" spans="1:5" ht="34" customHeight="1">
      <c r="A51" s="1" t="s">
        <v>42</v>
      </c>
      <c r="B51" s="1" t="s">
        <v>153</v>
      </c>
      <c r="C51" s="1" t="s">
        <v>254</v>
      </c>
      <c r="D51" s="3" t="s">
        <v>249</v>
      </c>
      <c r="E51" s="3" t="s">
        <v>282</v>
      </c>
    </row>
    <row r="52" spans="1:5" ht="34" customHeight="1">
      <c r="A52" s="1" t="s">
        <v>42</v>
      </c>
      <c r="B52" s="1" t="s">
        <v>154</v>
      </c>
      <c r="C52" s="1" t="s">
        <v>254</v>
      </c>
      <c r="D52" s="3" t="s">
        <v>249</v>
      </c>
      <c r="E52" s="3" t="s">
        <v>154</v>
      </c>
    </row>
    <row r="53" spans="1:5" ht="34" customHeight="1">
      <c r="A53" s="1" t="s">
        <v>44</v>
      </c>
      <c r="B53" s="1" t="s">
        <v>144</v>
      </c>
      <c r="C53" s="1" t="s">
        <v>125</v>
      </c>
      <c r="D53" s="3" t="s">
        <v>249</v>
      </c>
      <c r="E53" s="3" t="s">
        <v>277</v>
      </c>
    </row>
    <row r="54" spans="1:5" ht="34" customHeight="1">
      <c r="A54" s="1" t="s">
        <v>44</v>
      </c>
      <c r="B54" s="1" t="s">
        <v>164</v>
      </c>
      <c r="C54" s="1" t="s">
        <v>125</v>
      </c>
      <c r="D54" s="3" t="s">
        <v>249</v>
      </c>
      <c r="E54" s="3" t="s">
        <v>164</v>
      </c>
    </row>
    <row r="55" spans="1:5" ht="34" customHeight="1">
      <c r="A55" s="1" t="s">
        <v>44</v>
      </c>
      <c r="B55" s="1" t="s">
        <v>165</v>
      </c>
      <c r="C55" s="1" t="s">
        <v>125</v>
      </c>
      <c r="D55" s="3" t="s">
        <v>258</v>
      </c>
      <c r="E55" s="3" t="s">
        <v>165</v>
      </c>
    </row>
    <row r="56" spans="1:5" ht="34" customHeight="1">
      <c r="A56" s="1" t="s">
        <v>44</v>
      </c>
      <c r="B56" s="1" t="s">
        <v>166</v>
      </c>
      <c r="C56" s="1" t="s">
        <v>125</v>
      </c>
      <c r="D56" s="3" t="s">
        <v>249</v>
      </c>
      <c r="E56" s="3" t="s">
        <v>283</v>
      </c>
    </row>
    <row r="57" spans="1:5" ht="34" customHeight="1">
      <c r="A57" s="1" t="s">
        <v>44</v>
      </c>
      <c r="B57" s="1" t="s">
        <v>167</v>
      </c>
      <c r="C57" s="1" t="s">
        <v>125</v>
      </c>
      <c r="D57" s="3" t="s">
        <v>258</v>
      </c>
      <c r="E57" s="3" t="s">
        <v>284</v>
      </c>
    </row>
    <row r="58" spans="1:5" ht="34" customHeight="1">
      <c r="A58" s="1" t="s">
        <v>44</v>
      </c>
      <c r="B58" s="1" t="s">
        <v>168</v>
      </c>
      <c r="C58" s="1" t="s">
        <v>125</v>
      </c>
      <c r="D58" s="3" t="s">
        <v>258</v>
      </c>
      <c r="E58" s="3" t="s">
        <v>285</v>
      </c>
    </row>
    <row r="59" spans="1:5" ht="34" customHeight="1">
      <c r="A59" s="1" t="s">
        <v>44</v>
      </c>
      <c r="B59" s="1" t="s">
        <v>169</v>
      </c>
      <c r="C59" s="1" t="s">
        <v>125</v>
      </c>
      <c r="D59" s="3" t="s">
        <v>249</v>
      </c>
      <c r="E59" s="3" t="s">
        <v>286</v>
      </c>
    </row>
    <row r="60" spans="1:5" ht="34" customHeight="1">
      <c r="A60" s="1" t="s">
        <v>46</v>
      </c>
      <c r="B60" s="1" t="s">
        <v>175</v>
      </c>
      <c r="C60" s="1" t="s">
        <v>125</v>
      </c>
      <c r="D60" s="3" t="s">
        <v>249</v>
      </c>
      <c r="E60" s="3" t="s">
        <v>250</v>
      </c>
    </row>
    <row r="61" spans="1:5" ht="34" customHeight="1">
      <c r="A61" s="1" t="s">
        <v>46</v>
      </c>
      <c r="B61" s="1" t="s">
        <v>83</v>
      </c>
      <c r="C61" s="1" t="s">
        <v>125</v>
      </c>
      <c r="D61" s="3" t="s">
        <v>249</v>
      </c>
      <c r="E61" s="3" t="s">
        <v>257</v>
      </c>
    </row>
    <row r="62" spans="1:5" ht="34" customHeight="1">
      <c r="A62" s="1" t="s">
        <v>46</v>
      </c>
      <c r="B62" s="1" t="s">
        <v>176</v>
      </c>
      <c r="C62" s="1" t="s">
        <v>125</v>
      </c>
      <c r="D62" s="3" t="s">
        <v>249</v>
      </c>
      <c r="E62" s="3" t="s">
        <v>176</v>
      </c>
    </row>
    <row r="63" spans="1:5" ht="34" customHeight="1">
      <c r="A63" s="1" t="s">
        <v>46</v>
      </c>
      <c r="B63" s="1" t="s">
        <v>177</v>
      </c>
      <c r="C63" s="1" t="s">
        <v>125</v>
      </c>
      <c r="D63" s="3" t="s">
        <v>252</v>
      </c>
      <c r="E63" s="3" t="s">
        <v>253</v>
      </c>
    </row>
    <row r="64" spans="1:5" ht="34" customHeight="1">
      <c r="A64" s="1" t="s">
        <v>46</v>
      </c>
      <c r="B64" s="1" t="s">
        <v>178</v>
      </c>
      <c r="C64" s="1" t="s">
        <v>125</v>
      </c>
      <c r="D64" s="3" t="s">
        <v>287</v>
      </c>
      <c r="E64" s="3" t="s">
        <v>178</v>
      </c>
    </row>
    <row r="65" spans="1:5" ht="34" customHeight="1">
      <c r="A65" s="1" t="s">
        <v>46</v>
      </c>
      <c r="B65" s="1" t="s">
        <v>179</v>
      </c>
      <c r="C65" s="1" t="s">
        <v>125</v>
      </c>
      <c r="D65" s="3" t="s">
        <v>288</v>
      </c>
      <c r="E65" s="3" t="s">
        <v>179</v>
      </c>
    </row>
    <row r="66" spans="1:5" ht="34" customHeight="1">
      <c r="A66" s="1" t="s">
        <v>46</v>
      </c>
      <c r="B66" s="1" t="s">
        <v>180</v>
      </c>
      <c r="C66" s="1" t="s">
        <v>125</v>
      </c>
      <c r="D66" s="3" t="s">
        <v>249</v>
      </c>
      <c r="E66" s="3" t="s">
        <v>180</v>
      </c>
    </row>
    <row r="67" spans="1:5" ht="34" customHeight="1">
      <c r="A67" s="1" t="s">
        <v>46</v>
      </c>
      <c r="B67" s="1" t="s">
        <v>181</v>
      </c>
      <c r="C67" s="1" t="s">
        <v>125</v>
      </c>
      <c r="D67" s="3" t="s">
        <v>289</v>
      </c>
      <c r="E67" s="3" t="s">
        <v>181</v>
      </c>
    </row>
    <row r="68" spans="1:5" ht="34" customHeight="1">
      <c r="A68" s="1" t="s">
        <v>46</v>
      </c>
      <c r="B68" s="1" t="s">
        <v>182</v>
      </c>
      <c r="C68" s="1" t="s">
        <v>254</v>
      </c>
      <c r="D68" s="3" t="s">
        <v>249</v>
      </c>
      <c r="E68" s="3" t="s">
        <v>290</v>
      </c>
    </row>
    <row r="69" spans="1:5" ht="34" customHeight="1">
      <c r="A69" s="1" t="s">
        <v>46</v>
      </c>
      <c r="B69" s="1" t="s">
        <v>183</v>
      </c>
      <c r="C69" s="1" t="s">
        <v>125</v>
      </c>
      <c r="D69" s="3" t="s">
        <v>249</v>
      </c>
      <c r="E69" s="3" t="s">
        <v>291</v>
      </c>
    </row>
    <row r="70" spans="1:5" ht="34" customHeight="1">
      <c r="A70" s="1" t="s">
        <v>46</v>
      </c>
      <c r="B70" s="1" t="s">
        <v>184</v>
      </c>
      <c r="C70" s="1" t="s">
        <v>125</v>
      </c>
      <c r="D70" s="3" t="s">
        <v>252</v>
      </c>
      <c r="E70" s="3" t="s">
        <v>253</v>
      </c>
    </row>
    <row r="71" spans="1:5" ht="34" customHeight="1">
      <c r="A71" s="1" t="s">
        <v>48</v>
      </c>
      <c r="B71" s="1" t="s">
        <v>199</v>
      </c>
      <c r="C71" s="1" t="s">
        <v>125</v>
      </c>
      <c r="D71" s="3" t="s">
        <v>249</v>
      </c>
      <c r="E71" s="3" t="s">
        <v>250</v>
      </c>
    </row>
    <row r="72" spans="1:5" ht="34" customHeight="1">
      <c r="A72" s="1" t="s">
        <v>48</v>
      </c>
      <c r="B72" s="1" t="s">
        <v>83</v>
      </c>
      <c r="C72" s="1" t="s">
        <v>125</v>
      </c>
      <c r="D72" s="3" t="s">
        <v>249</v>
      </c>
      <c r="E72" s="3" t="s">
        <v>257</v>
      </c>
    </row>
    <row r="73" spans="1:5" ht="34" customHeight="1">
      <c r="A73" s="1" t="s">
        <v>48</v>
      </c>
      <c r="B73" s="1" t="s">
        <v>55</v>
      </c>
      <c r="C73" s="1" t="s">
        <v>125</v>
      </c>
      <c r="D73" s="3" t="s">
        <v>249</v>
      </c>
      <c r="E73" s="3" t="s">
        <v>55</v>
      </c>
    </row>
    <row r="74" spans="1:5" ht="34" customHeight="1">
      <c r="A74" s="1" t="s">
        <v>48</v>
      </c>
      <c r="B74" s="1" t="s">
        <v>200</v>
      </c>
      <c r="C74" s="1" t="s">
        <v>125</v>
      </c>
      <c r="D74" s="3" t="s">
        <v>292</v>
      </c>
      <c r="E74" s="3" t="s">
        <v>200</v>
      </c>
    </row>
    <row r="75" spans="1:5" ht="34" customHeight="1">
      <c r="A75" s="1" t="s">
        <v>48</v>
      </c>
      <c r="B75" s="1" t="s">
        <v>201</v>
      </c>
      <c r="C75" s="1" t="s">
        <v>125</v>
      </c>
      <c r="D75" s="3" t="s">
        <v>249</v>
      </c>
      <c r="E75" s="3" t="s">
        <v>201</v>
      </c>
    </row>
    <row r="76" spans="1:5" ht="34" customHeight="1">
      <c r="A76" s="1" t="s">
        <v>48</v>
      </c>
      <c r="B76" s="1" t="s">
        <v>145</v>
      </c>
      <c r="C76" s="1" t="s">
        <v>125</v>
      </c>
      <c r="D76" s="3" t="s">
        <v>252</v>
      </c>
      <c r="E76" s="3" t="s">
        <v>253</v>
      </c>
    </row>
    <row r="77" spans="1:5" ht="34" customHeight="1">
      <c r="A77" s="1" t="s">
        <v>48</v>
      </c>
      <c r="B77" s="1" t="s">
        <v>202</v>
      </c>
      <c r="C77" s="1" t="s">
        <v>125</v>
      </c>
      <c r="D77" s="3" t="s">
        <v>249</v>
      </c>
      <c r="E77" s="3" t="s">
        <v>293</v>
      </c>
    </row>
    <row r="78" spans="1:5" ht="34" customHeight="1">
      <c r="A78" s="1" t="s">
        <v>48</v>
      </c>
      <c r="B78" s="1" t="s">
        <v>203</v>
      </c>
      <c r="C78" s="1" t="s">
        <v>125</v>
      </c>
      <c r="D78" s="3" t="s">
        <v>258</v>
      </c>
      <c r="E78" s="3" t="s">
        <v>203</v>
      </c>
    </row>
    <row r="79" spans="1:5" ht="34" customHeight="1">
      <c r="A79" s="1" t="s">
        <v>48</v>
      </c>
      <c r="B79" s="1" t="s">
        <v>204</v>
      </c>
      <c r="C79" s="1" t="s">
        <v>125</v>
      </c>
      <c r="D79" s="3" t="s">
        <v>249</v>
      </c>
      <c r="E79" s="3" t="s">
        <v>294</v>
      </c>
    </row>
    <row r="80" spans="1:5" ht="34" customHeight="1">
      <c r="A80" s="1" t="s">
        <v>48</v>
      </c>
      <c r="B80" s="1" t="s">
        <v>205</v>
      </c>
      <c r="C80" s="1" t="s">
        <v>125</v>
      </c>
      <c r="D80" s="3" t="s">
        <v>295</v>
      </c>
      <c r="E80" s="3" t="s">
        <v>296</v>
      </c>
    </row>
    <row r="81" spans="1:5" ht="34" customHeight="1">
      <c r="A81" s="1" t="s">
        <v>48</v>
      </c>
      <c r="B81" s="1" t="s">
        <v>206</v>
      </c>
      <c r="C81" s="1" t="s">
        <v>125</v>
      </c>
      <c r="D81" s="3" t="s">
        <v>297</v>
      </c>
      <c r="E81" s="3" t="s">
        <v>298</v>
      </c>
    </row>
    <row r="82" spans="1:5" ht="34" customHeight="1">
      <c r="A82" s="1" t="s">
        <v>48</v>
      </c>
      <c r="B82" s="1" t="s">
        <v>207</v>
      </c>
      <c r="C82" s="1" t="s">
        <v>125</v>
      </c>
      <c r="D82" s="3" t="s">
        <v>249</v>
      </c>
      <c r="E82" s="3" t="s">
        <v>207</v>
      </c>
    </row>
    <row r="83" spans="1:5" ht="34" customHeight="1">
      <c r="A83" s="1" t="s">
        <v>48</v>
      </c>
      <c r="B83" s="1" t="s">
        <v>208</v>
      </c>
      <c r="C83" s="1" t="s">
        <v>254</v>
      </c>
      <c r="D83" s="3" t="s">
        <v>249</v>
      </c>
      <c r="E83" s="3" t="s">
        <v>299</v>
      </c>
    </row>
    <row r="84" spans="1:5" ht="34" customHeight="1">
      <c r="A84" s="1" t="s">
        <v>50</v>
      </c>
      <c r="B84" s="1" t="s">
        <v>230</v>
      </c>
      <c r="C84" s="1" t="s">
        <v>125</v>
      </c>
      <c r="D84" s="3" t="s">
        <v>249</v>
      </c>
      <c r="E84" s="3" t="s">
        <v>250</v>
      </c>
    </row>
    <row r="85" spans="1:5" ht="34" customHeight="1">
      <c r="A85" s="1" t="s">
        <v>50</v>
      </c>
      <c r="B85" s="1" t="s">
        <v>83</v>
      </c>
      <c r="C85" s="1" t="s">
        <v>125</v>
      </c>
      <c r="D85" s="3" t="s">
        <v>249</v>
      </c>
      <c r="E85" s="3" t="s">
        <v>257</v>
      </c>
    </row>
    <row r="86" spans="1:5" ht="34" customHeight="1">
      <c r="A86" s="1" t="s">
        <v>50</v>
      </c>
      <c r="B86" s="1" t="s">
        <v>55</v>
      </c>
      <c r="C86" s="1" t="s">
        <v>125</v>
      </c>
      <c r="D86" s="3" t="s">
        <v>249</v>
      </c>
      <c r="E86" s="3" t="s">
        <v>55</v>
      </c>
    </row>
    <row r="87" spans="1:5" ht="34" customHeight="1">
      <c r="A87" s="1" t="s">
        <v>50</v>
      </c>
      <c r="B87" s="1" t="s">
        <v>231</v>
      </c>
      <c r="C87" s="1" t="s">
        <v>125</v>
      </c>
      <c r="D87" s="3" t="s">
        <v>249</v>
      </c>
      <c r="E87" s="3" t="s">
        <v>231</v>
      </c>
    </row>
    <row r="88" spans="1:5" ht="34" customHeight="1">
      <c r="A88" s="1" t="s">
        <v>50</v>
      </c>
      <c r="B88" s="1" t="s">
        <v>232</v>
      </c>
      <c r="C88" s="1" t="s">
        <v>125</v>
      </c>
      <c r="D88" s="3" t="s">
        <v>249</v>
      </c>
      <c r="E88" s="3" t="s">
        <v>300</v>
      </c>
    </row>
    <row r="89" spans="1:5" ht="34" customHeight="1">
      <c r="A89" s="1" t="s">
        <v>50</v>
      </c>
      <c r="B89" s="1" t="s">
        <v>233</v>
      </c>
      <c r="C89" s="1" t="s">
        <v>125</v>
      </c>
      <c r="D89" s="3" t="s">
        <v>249</v>
      </c>
      <c r="E89" s="3" t="s">
        <v>301</v>
      </c>
    </row>
    <row r="90" spans="1:5" ht="34" customHeight="1">
      <c r="A90" s="1" t="s">
        <v>50</v>
      </c>
      <c r="B90" s="1" t="s">
        <v>234</v>
      </c>
      <c r="C90" s="1" t="s">
        <v>125</v>
      </c>
      <c r="D90" s="3" t="s">
        <v>252</v>
      </c>
      <c r="E90" s="3" t="s">
        <v>253</v>
      </c>
    </row>
    <row r="91" spans="1:5" ht="34" customHeight="1">
      <c r="A91" s="1" t="s">
        <v>50</v>
      </c>
      <c r="B91" s="1" t="s">
        <v>235</v>
      </c>
      <c r="C91" s="1" t="s">
        <v>254</v>
      </c>
      <c r="D91" s="3" t="s">
        <v>249</v>
      </c>
      <c r="E91" s="3" t="s">
        <v>235</v>
      </c>
    </row>
    <row r="92" spans="1:5" ht="34" customHeight="1">
      <c r="A92" s="1" t="s">
        <v>52</v>
      </c>
      <c r="B92" s="1" t="s">
        <v>239</v>
      </c>
      <c r="C92" s="1" t="s">
        <v>125</v>
      </c>
      <c r="D92" s="3" t="s">
        <v>302</v>
      </c>
      <c r="E92" s="3" t="s">
        <v>303</v>
      </c>
    </row>
    <row r="93" spans="1:5" ht="34" customHeight="1">
      <c r="A93" s="1" t="s">
        <v>52</v>
      </c>
      <c r="B93" s="1" t="s">
        <v>240</v>
      </c>
      <c r="C93" s="1" t="s">
        <v>125</v>
      </c>
      <c r="D93" s="3" t="s">
        <v>252</v>
      </c>
      <c r="E93" s="3" t="s">
        <v>253</v>
      </c>
    </row>
    <row r="94" spans="1:5" ht="34" customHeight="1">
      <c r="A94" s="1" t="s">
        <v>52</v>
      </c>
      <c r="B94" s="1" t="s">
        <v>60</v>
      </c>
      <c r="C94" s="1" t="s">
        <v>125</v>
      </c>
      <c r="D94" s="3" t="s">
        <v>249</v>
      </c>
      <c r="E94" s="3" t="s">
        <v>256</v>
      </c>
    </row>
    <row r="95" spans="1:5" ht="34" customHeight="1">
      <c r="A95" s="1" t="s">
        <v>52</v>
      </c>
      <c r="B95" s="1" t="s">
        <v>241</v>
      </c>
      <c r="C95" s="1" t="s">
        <v>125</v>
      </c>
      <c r="D95" s="3" t="s">
        <v>249</v>
      </c>
      <c r="E95" s="3" t="s">
        <v>304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9D634304CDD944BBB6F6B9B96AB5DD" ma:contentTypeVersion="15" ma:contentTypeDescription="Create a new document." ma:contentTypeScope="" ma:versionID="bd01d50eceb60dc3d78575b1d621ffd7">
  <xsd:schema xmlns:xsd="http://www.w3.org/2001/XMLSchema" xmlns:xs="http://www.w3.org/2001/XMLSchema" xmlns:p="http://schemas.microsoft.com/office/2006/metadata/properties" xmlns:ns2="9a9445a5-b38d-4e11-8760-e4c43ce243d7" xmlns:ns3="31f8940e-d1a7-40ad-968f-2c66eb53a90a" targetNamespace="http://schemas.microsoft.com/office/2006/metadata/properties" ma:root="true" ma:fieldsID="8557c186efe597399650bd8228c58222" ns2:_="" ns3:_="">
    <xsd:import namespace="9a9445a5-b38d-4e11-8760-e4c43ce243d7"/>
    <xsd:import namespace="31f8940e-d1a7-40ad-968f-2c66eb53a90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9445a5-b38d-4e11-8760-e4c43ce243d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d06f0b5-5743-41f2-90d3-b12c8ffc7f3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f8940e-d1a7-40ad-968f-2c66eb53a90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df4e13b-b02f-4eb8-8319-0e177e045c02}" ma:internalName="TaxCatchAll" ma:showField="CatchAllData" ma:web="31f8940e-d1a7-40ad-968f-2c66eb53a90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1f8940e-d1a7-40ad-968f-2c66eb53a90a" xsi:nil="true"/>
    <lcf76f155ced4ddcb4097134ff3c332f xmlns="9a9445a5-b38d-4e11-8760-e4c43ce243d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C13E52A-0FB2-48C1-8814-C043EF986154}"/>
</file>

<file path=customXml/itemProps2.xml><?xml version="1.0" encoding="utf-8"?>
<ds:datastoreItem xmlns:ds="http://schemas.openxmlformats.org/officeDocument/2006/customXml" ds:itemID="{3B170EF5-4C0D-476A-86A8-F45FC75601CC}"/>
</file>

<file path=customXml/itemProps3.xml><?xml version="1.0" encoding="utf-8"?>
<ds:datastoreItem xmlns:ds="http://schemas.openxmlformats.org/officeDocument/2006/customXml" ds:itemID="{11A9097E-076C-4EB1-AFEE-0413CB23BB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Coverage</vt:lpstr>
      <vt:lpstr>Alerts</vt:lpstr>
      <vt:lpstr>Routes</vt:lpstr>
      <vt:lpstr>Route Locations</vt:lpstr>
      <vt:lpstr>Assessments</vt:lpstr>
      <vt:lpstr>Needs</vt:lpstr>
      <vt:lpstr>Screening</vt:lpstr>
      <vt:lpstr>Activities</vt:lpstr>
      <vt:lpstr>Transfers</vt:lpstr>
      <vt:lpstr>Metadata</vt:lpstr>
      <vt:lpstr>Field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Jubilio MAUSSE</cp:lastModifiedBy>
  <dcterms:modified xsi:type="dcterms:W3CDTF">2026-10-16T15:00:06Z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0x010100FC9D634304CDD944BBB6F6B9B96AB5DD</vt:lpwstr>
  </property>
</Properties>
</file>