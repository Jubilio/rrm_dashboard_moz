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mc:AlternateContent xmlns:mc="http://schemas.openxmlformats.org/markup-compatibility/2006">
    <mc:Choice Requires="x15">
      <x15ac:absPath xmlns:x15ac="http://schemas.microsoft.com/office/spreadsheetml/2010/11/ac" url="https://acted.sharepoint.com/sites/IMPACTMOZ/Shared Documents/General/2_Research/8_RRM_2026/3_Outputs/4_Dashboard/"/>
    </mc:Choice>
  </mc:AlternateContent>
  <xr:revisionPtr revIDLastSave="0" documentId="8_{8CCDE292-9B91-4F61-A3CA-1B3A8424B8F8}" xr6:coauthVersionLast="47" xr6:coauthVersionMax="47" xr10:uidLastSave="{00000000-0000-0000-0000-000000000000}"/>
  <bookViews>
    <workbookView xWindow="38280" yWindow="-120" windowWidth="29040" windowHeight="15720" firstSheet="3" activeTab="3" xr2:uid="{00000000-000D-0000-FFFF-FFFF00000000}"/>
  </bookViews>
  <sheets>
    <sheet name="Read Me &amp; Dashboard" sheetId="1" r:id="rId1"/>
    <sheet name="Alert Registry" sheetId="2" r:id="rId2"/>
    <sheet name="Severity - Alert" sheetId="3" r:id="rId3"/>
    <sheet name="Severity - RNA" sheetId="4" r:id="rId4"/>
    <sheet name="Severity Framework"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3" i="4" l="1"/>
  <c r="K19" i="2"/>
  <c r="N19" i="2"/>
  <c r="J18" i="2"/>
  <c r="K18" i="2" s="1"/>
  <c r="J17" i="2"/>
  <c r="K17" i="2" s="1"/>
  <c r="N17" i="2"/>
  <c r="N16" i="2"/>
  <c r="J16" i="2"/>
  <c r="K16" i="2" s="1"/>
  <c r="N15" i="2"/>
  <c r="J15" i="2"/>
  <c r="K15" i="2" s="1"/>
  <c r="N14" i="2"/>
  <c r="J14" i="2"/>
  <c r="K14" i="2" s="1"/>
  <c r="N13" i="2"/>
  <c r="J13" i="2"/>
  <c r="K13" i="2" s="1"/>
  <c r="N12" i="2"/>
  <c r="AC12" i="4" s="1"/>
  <c r="J12" i="2"/>
  <c r="K12" i="2" s="1"/>
  <c r="N11" i="2"/>
  <c r="AC11" i="4" s="1"/>
  <c r="J11" i="2"/>
  <c r="K11" i="2" s="1"/>
  <c r="N10" i="2"/>
  <c r="AC10" i="4" s="1"/>
  <c r="J10" i="2"/>
  <c r="K10" i="2" s="1"/>
  <c r="N9" i="2"/>
  <c r="AC9" i="4" s="1"/>
  <c r="J9" i="2"/>
  <c r="K9" i="2" s="1"/>
  <c r="N8" i="2"/>
  <c r="AC8" i="4" s="1"/>
  <c r="J8" i="2"/>
  <c r="K8" i="2" s="1"/>
  <c r="N7" i="2"/>
  <c r="AC7" i="4" s="1"/>
  <c r="J7" i="2"/>
  <c r="K7" i="2" s="1"/>
  <c r="N6" i="2"/>
  <c r="AC6" i="4" s="1"/>
  <c r="J6" i="2"/>
  <c r="K6" i="2" s="1"/>
  <c r="N5" i="2"/>
  <c r="AC5" i="4" s="1"/>
  <c r="J5" i="2"/>
  <c r="K5" i="2" s="1"/>
  <c r="N4" i="2"/>
  <c r="AC4" i="4" s="1"/>
  <c r="J4" i="2"/>
  <c r="K4" i="2" s="1"/>
  <c r="N3" i="2"/>
  <c r="AC3" i="4" s="1"/>
  <c r="J3" i="2"/>
  <c r="K3" i="2" s="1"/>
  <c r="N2" i="2"/>
  <c r="AC2" i="4" s="1"/>
  <c r="J2" i="2"/>
  <c r="K2" i="2" s="1"/>
  <c r="E13" i="1"/>
  <c r="C13" i="1"/>
  <c r="A13" i="1"/>
  <c r="N12" i="1"/>
  <c r="M12" i="1"/>
  <c r="N11" i="1"/>
  <c r="M11" i="1"/>
  <c r="N10" i="1"/>
  <c r="M10" i="1"/>
  <c r="N9" i="1"/>
  <c r="M9" i="1"/>
  <c r="E9" i="1"/>
  <c r="C9" i="1"/>
  <c r="A9" i="1"/>
  <c r="J5" i="1"/>
  <c r="G13" i="1" l="1"/>
  <c r="I9" i="1"/>
  <c r="M3" i="1"/>
  <c r="G9" i="1"/>
  <c r="M5" i="1"/>
  <c r="M4" i="1"/>
  <c r="I13" i="1"/>
</calcChain>
</file>

<file path=xl/sharedStrings.xml><?xml version="1.0" encoding="utf-8"?>
<sst xmlns="http://schemas.openxmlformats.org/spreadsheetml/2006/main" count="1310" uniqueCount="621">
  <si>
    <t>MOZ-RRM Historical Alert &amp; Severity Review | April–August 2026</t>
  </si>
  <si>
    <t>Status</t>
  </si>
  <si>
    <t>Count</t>
  </si>
  <si>
    <t>Purpose: historical registry and calibration workbook for the simplified RRM severity methodology. Alert-stage severity preserves what was reasonably knowable at alert time; RNA-stage severity updates only fields supported by the assessment. The registry status is provisional: alerts older than 80 days are marked Pending closure until closure is formally confirmed.</t>
  </si>
  <si>
    <t>Ongoing alert</t>
  </si>
  <si>
    <t>Pending closure</t>
  </si>
  <si>
    <t>Dashboard date</t>
  </si>
  <si>
    <t>Open - RNA pending</t>
  </si>
  <si>
    <t>Dashboard KPIs</t>
  </si>
  <si>
    <t>Total alerts</t>
  </si>
  <si>
    <t>RNA completed</t>
  </si>
  <si>
    <t>Tier 2 assessments</t>
  </si>
  <si>
    <t>Ongoing alerts</t>
  </si>
  <si>
    <t>Severity</t>
  </si>
  <si>
    <t>Alert</t>
  </si>
  <si>
    <t>RNA</t>
  </si>
  <si>
    <t>Low</t>
  </si>
  <si>
    <t>Moderate</t>
  </si>
  <si>
    <t>High</t>
  </si>
  <si>
    <t>No RNA</t>
  </si>
  <si>
    <t>Critical at alert</t>
  </si>
  <si>
    <t>Critical after RNA</t>
  </si>
  <si>
    <t>Severity changed</t>
  </si>
  <si>
    <t>Severity unchanged</t>
  </si>
  <si>
    <t>Critical</t>
  </si>
  <si>
    <t>How to use this workbook</t>
  </si>
  <si>
    <t>1</t>
  </si>
  <si>
    <t>Alert Registry</t>
  </si>
  <si>
    <t>Master list of reviewed alerts, RNA/Tier 2 completion, days open, provisional status, and severity change.</t>
  </si>
  <si>
    <t>2</t>
  </si>
  <si>
    <t>Severity - Alert</t>
  </si>
  <si>
    <t>Historical alert-stage evidence and provisional severity using the simplified two-domain framework.</t>
  </si>
  <si>
    <t>3</t>
  </si>
  <si>
    <t>Severity - RNA</t>
  </si>
  <si>
    <t>Updated evidence following RNA. Where no RNA updated a point, alert-stage information is retained.</t>
  </si>
  <si>
    <t>4</t>
  </si>
  <si>
    <t>Severity Framework</t>
  </si>
  <si>
    <t>Short methodology, domain anchors, ≥900 override, confidence/completeness principles and status thresholds.</t>
  </si>
  <si>
    <t>5</t>
  </si>
  <si>
    <t>Important</t>
  </si>
  <si>
    <t>Namuno/Muanona is intentionally scored at both stages; the RNA Critical result carries a geographic-evidence caveat because onward arrival locations were not separately assessed.</t>
  </si>
  <si>
    <t>Dashboard interpretation notes</t>
  </si>
  <si>
    <t>• Alerts older than 80 days are marked Pending closure as a conservative interim status; formal closure confirmation is still required.</t>
  </si>
  <si>
    <t>• A completed RNA does not automatically close an alert. Alerts ≤80 days with RNA are shown as Ongoing alert.</t>
  </si>
  <si>
    <t>• Severity is categorical, not additive. Overall severity is the highest supported domain level unless the ≥900 HH Critical override applies.</t>
  </si>
  <si>
    <t>• Vulnerable groups, host pressure, access constraints and response coverage inform interpretation but are not independent point scores.</t>
  </si>
  <si>
    <t>• RNA-stage values retain alert-stage information wherever the RNA did not provide an update.</t>
  </si>
  <si>
    <t>Alert Name</t>
  </si>
  <si>
    <t>Organisation</t>
  </si>
  <si>
    <t>Arrival District</t>
  </si>
  <si>
    <t>Alert Shared Date</t>
  </si>
  <si>
    <t>Movement Type</t>
  </si>
  <si>
    <t>RNA Done?</t>
  </si>
  <si>
    <t>Tier 2 Assessment Done?</t>
  </si>
  <si>
    <t>RNA Date</t>
  </si>
  <si>
    <t>Tier 2 Date</t>
  </si>
  <si>
    <t>Days from Alert to Today</t>
  </si>
  <si>
    <t>Alert Severity</t>
  </si>
  <si>
    <t>RNA Severity</t>
  </si>
  <si>
    <t>Change</t>
  </si>
  <si>
    <t>Population Type</t>
  </si>
  <si>
    <t>Alert Caseload</t>
  </si>
  <si>
    <t>Latest / RNA Caseload</t>
  </si>
  <si>
    <t>Linked to Previous Alert?</t>
  </si>
  <si>
    <t>Related Alert(s)</t>
  </si>
  <si>
    <t>Alert Source File</t>
  </si>
  <si>
    <t>RNA Source File</t>
  </si>
  <si>
    <t>Tier 2 Source File</t>
  </si>
  <si>
    <t>Notes</t>
  </si>
  <si>
    <t>RRM_IOMDTM_MULTI-DISTRICT_18042026_IDP</t>
  </si>
  <si>
    <t>IOM/DTM</t>
  </si>
  <si>
    <t>Multiple districts</t>
  </si>
  <si>
    <t>Mixed reactive + pre-emptive/fear-driven</t>
  </si>
  <si>
    <t>Yes</t>
  </si>
  <si>
    <t>No</t>
  </si>
  <si>
    <t>IDP</t>
  </si>
  <si>
    <t>177 HH / 573 people</t>
  </si>
  <si>
    <t>177 HH / 573 people retained; no replacement alert-wide caseload</t>
  </si>
  <si>
    <t>Mozambique — ETT Movement Alert Report #153 — Macomia &amp; Muidumbe attacks (18 April 2026).pdf</t>
  </si>
  <si>
    <t>RRM_ACF_MACOMIA_IDP_RNA_20052026.pdf</t>
  </si>
  <si>
    <t>RRM_NRC_NANGADE_22042026_IDP</t>
  </si>
  <si>
    <t>NRC</t>
  </si>
  <si>
    <t>Nangade</t>
  </si>
  <si>
    <t>Mixed reactive + fear-driven</t>
  </si>
  <si>
    <t>~190 HH</t>
  </si>
  <si>
    <t>227 affected HH across Nangade</t>
  </si>
  <si>
    <t>RRM_NRC_NANG_22042026PDF.pdf</t>
  </si>
  <si>
    <t>RRM_NRC_NANGADE_IDP_RNA_18052026.pdf</t>
  </si>
  <si>
    <t>RRM_SCI_MTAMBA_28042026_IDP</t>
  </si>
  <si>
    <t>SCI</t>
  </si>
  <si>
    <t>TBC</t>
  </si>
  <si>
    <t>Reactive</t>
  </si>
  <si>
    <t>80 HH linked to Mitope; ~140 other recent arrivals already at centre</t>
  </si>
  <si>
    <t>Potential</t>
  </si>
  <si>
    <t>RRM_SCI_MdP_27042026_final.pdf</t>
  </si>
  <si>
    <t>Arrival district/AP remains TBC.</t>
  </si>
  <si>
    <t>RRM_SI_ANCUABE_04052026_IDP</t>
  </si>
  <si>
    <t>SI</t>
  </si>
  <si>
    <t>Ancuabe</t>
  </si>
  <si>
    <t>Reactive; movement ongoing</t>
  </si>
  <si>
    <t>1,573 HH / ~3,950 people</t>
  </si>
  <si>
    <t>1,573 HH / 3,950 people retained</t>
  </si>
  <si>
    <t>SI_ANC_04052026.pdf</t>
  </si>
  <si>
    <t>RRM_SI_ANCUABE_IDP_RNA_20052026.pdf</t>
  </si>
  <si>
    <t>RRM_NRC_MONTEPUEZ_06052026_IDP</t>
  </si>
  <si>
    <t>Montepuez</t>
  </si>
  <si>
    <t>Mixed, predominantly reactive</t>
  </si>
  <si>
    <t>~500 HH</t>
  </si>
  <si>
    <t>626 affected HH; final caseload still requires verification</t>
  </si>
  <si>
    <t>RRM_NRC_NACU_06052026_PDF.pdf</t>
  </si>
  <si>
    <t>RRM_NRC_MONTEPUEZ_IDP_RNA_19052026.pdf</t>
  </si>
  <si>
    <t>RRM_NRC_MONTEPUEZ_IDP_TIER2-RNA_18062026.docx</t>
  </si>
  <si>
    <t>RRM_SI_CHIURE_19052026_IDP</t>
  </si>
  <si>
    <t>Chiúre</t>
  </si>
  <si>
    <t>889 HH + unknown hosted HH</t>
  </si>
  <si>
    <t>889 HH + unknown hosted HH retained; exact caseload still requires verification</t>
  </si>
  <si>
    <t>SI_CHR_19052026.pdf</t>
  </si>
  <si>
    <t>RRM_SI_CHIURE_IDP_RNA_01062026.pdf</t>
  </si>
  <si>
    <t>RRM_SCI_MOCIMBOA-DA-PRAIA_26052026_IDP</t>
  </si>
  <si>
    <t>Mocímboa da Praia</t>
  </si>
  <si>
    <t>~300 HH</t>
  </si>
  <si>
    <t>RRM_SCI_MDP_26052026.pdf</t>
  </si>
  <si>
    <t>RRM_SCI_NAMUNO-MONTEPUEZ_26052026_IDP</t>
  </si>
  <si>
    <t>Namuno &amp; Montepuez</t>
  </si>
  <si>
    <t>~500 HH affected at Muanona; displaced-arrival caseload not quantified</t>
  </si>
  <si>
    <t>~500 affected HH retained; displaced-arrival caseload still not verified</t>
  </si>
  <si>
    <t>RRM_SCI_NAMNO_26052026.pdf</t>
  </si>
  <si>
    <t>RRM_SCI_NAMUNO_MONTEPUEZ_IDP_RNA_17062026.pdf</t>
  </si>
  <si>
    <t>RNA-stage Critical is scored with a geographic-evidence caveat: Muanona was assessed, while reported onward-arrival locations were not separately assessed.</t>
  </si>
  <si>
    <t>RRM_SI_ANCUABE_08062026_IDP</t>
  </si>
  <si>
    <t>~735 HH</t>
  </si>
  <si>
    <t>~735 HH retained; verification still needed</t>
  </si>
  <si>
    <t>RRM_SI_ANCUABE_04052026_IDP; RRM_SI_ANCUABE_31072026_RETURNEE</t>
  </si>
  <si>
    <t>SI_ANC_08062026.pdf</t>
  </si>
  <si>
    <t>RRM_SI_ANCUABE_IDP_RNA_19062026.docx</t>
  </si>
  <si>
    <t>RRM_NRC_MONTEPUEZ_17062026_IDP</t>
  </si>
  <si>
    <t>~650 HH</t>
  </si>
  <si>
    <t>~650 HH retained; exact caseload requires verification</t>
  </si>
  <si>
    <t>RRM_NRC_NSA_17062026.pdf</t>
  </si>
  <si>
    <t>RRM_NRC_MONTEPUEZ_IDP_RNA_01072026.pdf</t>
  </si>
  <si>
    <t>RRM_NRC_MONTEPUEZ_29072026_IDP</t>
  </si>
  <si>
    <t>Predominantly pre-emptive / fear-driven</t>
  </si>
  <si>
    <t>&gt;884 HH</t>
  </si>
  <si>
    <t>884 HH currently reported; new arrivals still ongoing</t>
  </si>
  <si>
    <t>MOZ-RRM_26.07.2026_Montepuez_Mirate_NRC.pdf</t>
  </si>
  <si>
    <t>RRM_NRC_MONTEPUEZ_IDP_RNA_13082026.docx</t>
  </si>
  <si>
    <t>RRM_SI_ANCUABE_31072026_IDP</t>
  </si>
  <si>
    <t>~265 HH</t>
  </si>
  <si>
    <t>~260 displaced HH</t>
  </si>
  <si>
    <t>Alert_SI_ANC_31072026_ IDP's.docx</t>
  </si>
  <si>
    <t>RRM_SI_ANCUABE_IDP_RNA_13082026.pdf</t>
  </si>
  <si>
    <t>RRM_SI_ANCUABE_31072026_RETURNEE</t>
  </si>
  <si>
    <t>Return</t>
  </si>
  <si>
    <t>Returnee</t>
  </si>
  <si>
    <t>~3,495 HH</t>
  </si>
  <si>
    <t>~3,495 HH retained from alert; RNA labels current returnee caseload TBC/unverified</t>
  </si>
  <si>
    <t>RRM_SI_ANCUABE_04052026_IDP; RRM_SI_ANCUABE_08062026_IDP</t>
  </si>
  <si>
    <t>Alert_SI_ANC_31072026_ Returnee.docx</t>
  </si>
  <si>
    <t>RRM_SI_ANCUABE_RETURNEE_RNA_19082026.pdf</t>
  </si>
  <si>
    <t>RRM_ACF_QUISSANGA_11082026_IDP</t>
  </si>
  <si>
    <t>ACF</t>
  </si>
  <si>
    <t>Quissanga</t>
  </si>
  <si>
    <t>Reactive / fear-driven</t>
  </si>
  <si>
    <t>457 HH / 819 people</t>
  </si>
  <si>
    <t>457 HH / 819 people retained; caseload still requires verification</t>
  </si>
  <si>
    <t>Alert_ACF_QUI_11082026_ IDPs..pdf</t>
  </si>
  <si>
    <t>RRM_ACF_QUISSANGA_IDP_RNA_17082026.pdf</t>
  </si>
  <si>
    <t>RNA geography wording (Natugo 1 AP) should be reconciled with alert geography (Napuda/Mahate).</t>
  </si>
  <si>
    <t>RRM_SCI_BALAMA_19082026_IDP</t>
  </si>
  <si>
    <t>Balama</t>
  </si>
  <si>
    <t>~100 HH confirmed in Mavala Sede; additional HH in Nseue B/Npaca unknown</t>
  </si>
  <si>
    <t>250 displaced HH: 136 Mavala Sede + 114 Nseue B; Npaca not updated</t>
  </si>
  <si>
    <t>RRM_SCI_BALAMA_08082026.pdf</t>
  </si>
  <si>
    <t>RRM_SCI_BALAMA_IDP_RNA_01092026.pdf</t>
  </si>
  <si>
    <t>RRM_ACF_MACOMIA_10092026_IDP</t>
  </si>
  <si>
    <t>Macomia</t>
  </si>
  <si>
    <t>Reactive; arrivals ongoing</t>
  </si>
  <si>
    <t>98 HH arrived as of 7 Sep; screening/registration ongoing and further arrivals expected</t>
  </si>
  <si>
    <t>98 HH retained from alert; 15 Sep KII estimated ~140 people at the site, not directly comparable; registration data needed</t>
  </si>
  <si>
    <t>RRM_ACF_MACOMIA_10092026_ IDPs.pdf</t>
  </si>
  <si>
    <t>RRM_ACF_MACOMIA_IDP_RNA_17092026.pdf</t>
  </si>
  <si>
    <t>New September shock and distinct caseload, but Nonge-Muagamula already hosts former/protracted IDPs. RNA sample included 7 alert-linked and 5 protracted IDP households.</t>
  </si>
  <si>
    <t>RRM_NRC_NANGADE_15092026_IDP</t>
  </si>
  <si>
    <t>↑1 level</t>
  </si>
  <si>
    <t>176 HH newly arrived in Ntamba IDP site and host community</t>
  </si>
  <si>
    <t>176 HH retained from alert; RNA KIs estimated ~475 displaced people on average, a different unit that should not replace the HH figure</t>
  </si>
  <si>
    <t>RRM_NRC_NANGADE_22042026_IDP; RRM_SCI_MTAMBA_28042026_IDP</t>
  </si>
  <si>
    <t>RRM_NRC_NANGADE_15092026_IDP.docx</t>
  </si>
  <si>
    <t>RRM_NRC_NANGADE_IDP_RNA_21092026.docx</t>
  </si>
  <si>
    <t>New September displacement to Ntamba. Potential contextual linkage to earlier alerts because Nkonga/Muangaza also appeared in the April Nangade alert and Mitope appeared in the April SCI alert; this should not be treated as the same caseload without household-level confirmation.</t>
  </si>
  <si>
    <t>RRR_NRC_NANG_30092026</t>
  </si>
  <si>
    <t xml:space="preserve">Mixed reactive + fear-driven, moveent ongoing </t>
  </si>
  <si>
    <t>yes</t>
  </si>
  <si>
    <t>1040 HH newly arrived in Ntamaba and Muadi</t>
  </si>
  <si>
    <t>RRM_NRC_NANG_3009226</t>
  </si>
  <si>
    <t>Stage Date</t>
  </si>
  <si>
    <t>Arrival AP / Locations</t>
  </si>
  <si>
    <t>Origin District</t>
  </si>
  <si>
    <t>Origin AP / Locations</t>
  </si>
  <si>
    <t>Shock Type</t>
  </si>
  <si>
    <t>Potential Link to Previous Alert?</t>
  </si>
  <si>
    <t>Relationship</t>
  </si>
  <si>
    <t>Caseload Estimate</t>
  </si>
  <si>
    <t>Vulnerable Populations Reported</t>
  </si>
  <si>
    <t>Needs / Acute Conditions Flagged</t>
  </si>
  <si>
    <t>Host Already Hosting IDPs?</t>
  </si>
  <si>
    <t>Existing Tensions?</t>
  </si>
  <si>
    <t>Other Protection Threats at Arrival / Current Area</t>
  </si>
  <si>
    <t>Accessibility</t>
  </si>
  <si>
    <t>Humanitarian Conditions Domain</t>
  </si>
  <si>
    <t>Protection / Ongoing Threat Domain</t>
  </si>
  <si>
    <t>≥900 HH Override?</t>
  </si>
  <si>
    <t>Completeness / Geographic Coverage</t>
  </si>
  <si>
    <t>Confidence</t>
  </si>
  <si>
    <t>Short Rationale</t>
  </si>
  <si>
    <t>Source File</t>
  </si>
  <si>
    <t>Macomia locality; Chitunda AP; Muidumbe AP; Imbuo AP; Ibo AP: Macomia; Chitunda; Muidumbe; Namacande; Imbuhu; Vila do Ibo</t>
  </si>
  <si>
    <t>Macomia &amp; Muidumbe</t>
  </si>
  <si>
    <t>Not consistently stated: Nkoe; Nguida; Macomia; Chai; Pangane; Miengueleva</t>
  </si>
  <si>
    <t>NSAG attacks / insecurity</t>
  </si>
  <si>
    <t>Children 52%; 18 pregnant women; 14 older people; 9 persons with disabilities; 1 unaccompanied child</t>
  </si>
  <si>
    <t>Food, shelter and NFIs flagged; current severity at destinations insufficiently described</t>
  </si>
  <si>
    <t>Some arrivals to existing sites/host communities</t>
  </si>
  <si>
    <t>Not reported</t>
  </si>
  <si>
    <t>General insecurity; no specific imminent threat at destinations described</t>
  </si>
  <si>
    <t>Not sufficiently described in the ETT alert</t>
  </si>
  <si>
    <t>Level 2 - Moderate</t>
  </si>
  <si>
    <t>Partial</t>
  </si>
  <si>
    <t>Clear needs and vulnerable groups, but limited evidence on actual severity of current conditions at the destinations.</t>
  </si>
  <si>
    <t>Not stated: Mualela IDP site</t>
  </si>
  <si>
    <t>Not stated: Nkonga; Samora Machel; Namajonda; Muangaz; Litingina; Machava</t>
  </si>
  <si>
    <t>Armed attacks / NSAG movement</t>
  </si>
  <si>
    <t>Older people, women and children</t>
  </si>
  <si>
    <t>Shelter, food, WASH and NFIs</t>
  </si>
  <si>
    <t>Yes - Mualela is an IDP site</t>
  </si>
  <si>
    <t>No specific threat at arrival reported</t>
  </si>
  <si>
    <t>Good/feasible; route described as relatively calm</t>
  </si>
  <si>
    <t>Level 1 - Low</t>
  </si>
  <si>
    <t>Medium</t>
  </si>
  <si>
    <t>Needs were largely generic and no severe current deprivation at Mualela was yet demonstrated.</t>
  </si>
  <si>
    <t>TBC: Mtamba</t>
  </si>
  <si>
    <t>Diaca: Mitope</t>
  </si>
  <si>
    <t>Armed attack</t>
  </si>
  <si>
    <t>Possible contextual overlap because Muangaza/Samora Machel also appear among prior recent arrivals; same households not confirmed</t>
  </si>
  <si>
    <t>Yes - other recent displaced households were already present</t>
  </si>
  <si>
    <t>Route relatively calm; no recent incident reported</t>
  </si>
  <si>
    <t>Good/feasible for light and heavy vehicles</t>
  </si>
  <si>
    <t>Additional hosting pressure is plausible, but actual current living conditions were insufficiently described.</t>
  </si>
  <si>
    <t>Not stated: Nanjua A; Nanjua B; Muaja; Majasse; Nsanja</t>
  </si>
  <si>
    <t>Not stated: Minheuene; Nacole; Muaja</t>
  </si>
  <si>
    <t>Multiple armed attacks, destruction and abductions</t>
  </si>
  <si>
    <t>Pregnant women, older people, people with chronic illness, children</t>
  </si>
  <si>
    <t>Food, NFIs, shelter / rapid response recommended</t>
  </si>
  <si>
    <t>Not clearly stated</t>
  </si>
  <si>
    <t>Movement continuing; security forces patrolling</t>
  </si>
  <si>
    <t>Limited information</t>
  </si>
  <si>
    <t>Insufficient information</t>
  </si>
  <si>
    <t>Yes - ≥900 HH</t>
  </si>
  <si>
    <t>Automatic consortium Critical threshold because the alert-linked caseload is ≥900 HH.</t>
  </si>
  <si>
    <t>Not stated in alert: Namanhumbire</t>
  </si>
  <si>
    <t>Not stated: Nacuja; Nacaca; Campire</t>
  </si>
  <si>
    <t>Armed attack + fear of further attacks</t>
  </si>
  <si>
    <t>Contextually linked to the wider Ancuabe escalation but follows a new 5 May shock and remains a separate caseload</t>
  </si>
  <si>
    <t>Food, WASH and basic NFIs; families initially gathered at community meeting point</t>
  </si>
  <si>
    <t>Residents providing immediate support</t>
  </si>
  <si>
    <t>NSAG activity reported near the N14 / operational route; security clearance required</t>
  </si>
  <si>
    <t>Feasible but constrained by distance, potholes, checkpoints and security monitoring</t>
  </si>
  <si>
    <t>Level 3 - High</t>
  </si>
  <si>
    <t>Continuing security threat affecting movement/access supports High despite limited arrival-condition detail.</t>
  </si>
  <si>
    <t>Not stated: Megarruma; Maningane A; Maningane B; Chiúre host neighbourhoods</t>
  </si>
  <si>
    <t>Ancuabe &amp; Chiúre</t>
  </si>
  <si>
    <t>Metoro (Namacuili); others not stated: Namacuili; Navigi; wider incident narrative includes Namania and neighbouring villages</t>
  </si>
  <si>
    <t>Armed attacks / population movement</t>
  </si>
  <si>
    <t>Wider Ancuabe–Chiúre escalation; same-household overlap not established</t>
  </si>
  <si>
    <t>Not specifically quantified in the alert</t>
  </si>
  <si>
    <t>Food, NFIs and shelter</t>
  </si>
  <si>
    <t>Yes - IDP sites and host households</t>
  </si>
  <si>
    <t>Attacks reportedly ongoing in neighbouring areas; households moved more than once before reaching current hosting locations</t>
  </si>
  <si>
    <t>Feasible but degraded N1, potholes and checkpoints</t>
  </si>
  <si>
    <t>Possible - total may exceed 900 HH</t>
  </si>
  <si>
    <t>Nearby continuing insecurity supports High. Known caseload is 889 HH plus an unquantified hosted population, requiring urgent threshold verification.</t>
  </si>
  <si>
    <t>Not stated: Milamba; Ntende; Nanduadua; Airport peri-urban area; Tende</t>
  </si>
  <si>
    <t>Not stated: Nabaje; Moma; Naquiero</t>
  </si>
  <si>
    <t>Recurrent NSAG attacks</t>
  </si>
  <si>
    <t>Contextual continuation of insecurity in Mocímboa da Praia, but a separate origin and caseload</t>
  </si>
  <si>
    <t>Injured people; women and children prioritised</t>
  </si>
  <si>
    <t>Emergency shelter, food, WASH, psychosocial support and protection</t>
  </si>
  <si>
    <t>Hosted by relatives / host communities</t>
  </si>
  <si>
    <t>Exact conditions and security of dispersed arrival population not known</t>
  </si>
  <si>
    <t>Road access and UNHAS possible</t>
  </si>
  <si>
    <t>Serious shock but insufficient evidence of severe current conditions at the dispersed arrival locations.</t>
  </si>
  <si>
    <t>Meloco town / other destinations unresolved: Reported movement toward Meloco town, Montepuez District and other safer communities</t>
  </si>
  <si>
    <t>Namuno</t>
  </si>
  <si>
    <t>Meloco: Muanona</t>
  </si>
  <si>
    <t>Armed NSAG attack; killings, burning, looting and destruction</t>
  </si>
  <si>
    <t>Vulnerable groups referenced generally; protection particularly noted for children and women</t>
  </si>
  <si>
    <t>Families reportedly fled with few belongings; shelter, food, hygiene/WASH, protection, basic services and household items; psychosocial support</t>
  </si>
  <si>
    <t>Arrival hosting situation unknown</t>
  </si>
  <si>
    <t>Unknown</t>
  </si>
  <si>
    <t>Wider environment highly volatile; continued NSAG presence/activity and significant protection concerns</t>
  </si>
  <si>
    <t>Origin/surrounding access highly constrained; onward Montepuez route poor and 6–7 hours</t>
  </si>
  <si>
    <t>Partial / arrival geography unresolved</t>
  </si>
  <si>
    <t>Scored despite incomplete arrival data: reactive displacement, multiple immediate needs and a highly volatile environment support a provisional High, but not Critical.</t>
  </si>
  <si>
    <t>Ancuabe Sede + Nanjua (AP not stated): Nanjua; Ancuabe Sede; Nanhomane; Ntuto</t>
  </si>
  <si>
    <t>Not stated: Nanune; Nnaua; Nonia</t>
  </si>
  <si>
    <t>Repeated armed attacks, killings, abductions and burned houses</t>
  </si>
  <si>
    <t>New June displacement wave in the same wider Ancuabe crisis; later return alert explicitly links returns to these earlier waves</t>
  </si>
  <si>
    <t>53 pregnant women; 28 persons with disabilities; 35 older people</t>
  </si>
  <si>
    <t>Some receiving locations were already hosting IDPs</t>
  </si>
  <si>
    <t>Receiving area described as relatively stable despite continued displacement from attacks</t>
  </si>
  <si>
    <t>Feasible with poor-road sections; 4x4/truck possible</t>
  </si>
  <si>
    <t>Large caseload and vulnerabilities warrant attention, but severe current conditions at arrival were not yet documented.</t>
  </si>
  <si>
    <t>Not stated in alert: Namanhumbire; Ucuburi; Chimoio; Nanhupo-A</t>
  </si>
  <si>
    <t>Chiúre / other neighbouring areas</t>
  </si>
  <si>
    <t>Not consistently stated: Nsanja; Nacaca; Campire; Ncole/Nacole; Minheuene</t>
  </si>
  <si>
    <t>Armed attack / insecurity / fear</t>
  </si>
  <si>
    <t>Potential overlap/cumulative hosting in Namanhumbire; some repeated origins, so caseload overlap required checking</t>
  </si>
  <si>
    <t>Women, children and elderly reported as majority</t>
  </si>
  <si>
    <t>Food, WASH and basic NFIs</t>
  </si>
  <si>
    <t>Yes - Namanhumbire had already received the May caseload</t>
  </si>
  <si>
    <t>NSAG activity reported near N14; security clearance required</t>
  </si>
  <si>
    <t>Feasible but constrained by potholes, checkpoints and security clearance</t>
  </si>
  <si>
    <t>Continuing security environment affecting movement/access supports High; overlap with the earlier Namanhumbire caseload required screening.</t>
  </si>
  <si>
    <t>Mirate: Mararange; Mavala; Mavanda</t>
  </si>
  <si>
    <t>Mirate area: Nicocue; Namoro; Nquewene; Ntole</t>
  </si>
  <si>
    <t>NSAG movement / abduction incident / fear of attack</t>
  </si>
  <si>
    <t>None specifically reported</t>
  </si>
  <si>
    <t>Food, water/WASH, NFIs, shelter, health and protection</t>
  </si>
  <si>
    <t>Hosted by host communities</t>
  </si>
  <si>
    <t>NSAGs remained active relatively close to N14; security clearance required</t>
  </si>
  <si>
    <t>Feasible but security constrained; paved but poor road, checkpoints and monitoring</t>
  </si>
  <si>
    <t>Possible - count &gt;884 HH and arrivals ongoing</t>
  </si>
  <si>
    <t>Protection/access environment supports High. The known count is extremely close to the ≥900 Critical threshold.</t>
  </si>
  <si>
    <t>Mesa: Muaja</t>
  </si>
  <si>
    <t>Meluco</t>
  </si>
  <si>
    <t>Not stated: Mitepo</t>
  </si>
  <si>
    <t>Armed attack, abductions, houses burned and looted</t>
  </si>
  <si>
    <t>Muaja had previously hosted IDPs from earlier Ancuabe displacement, but this is a new July shock and population</t>
  </si>
  <si>
    <t>Muaja had previously hosted IDPs; current burden unclear</t>
  </si>
  <si>
    <t>Arrival area described as relatively stable</t>
  </si>
  <si>
    <t>Good/feasible</t>
  </si>
  <si>
    <t>Current severe deprivation or an immediate protection threat at Muaja was not demonstrated in the alert.</t>
  </si>
  <si>
    <t>Mesa: Nacueja/Nacoja; Minheuene; Nanune; Naua/Nonia</t>
  </si>
  <si>
    <t>Previous displacement locations in Ancuabe</t>
  </si>
  <si>
    <t>Mixed / not consistently stated: Nanjua A/site; Muaja; Majasse; Nsanja; Ancuabe Sede; Nanhomane; Ntuto</t>
  </si>
  <si>
    <t>Return following conflict displacement</t>
  </si>
  <si>
    <t>Explicit return of populations displaced by the late-April/early-May and June Ancuabe attack waves</t>
  </si>
  <si>
    <t>None newly specified in alert</t>
  </si>
  <si>
    <t>Food, NFIs and shelter broadly flagged</t>
  </si>
  <si>
    <t>N/A - households returning to areas of origin</t>
  </si>
  <si>
    <t>Former attack areas; current security described as relatively stable</t>
  </si>
  <si>
    <t>Automatic Critical under the consortium ≥900 HH threshold.</t>
  </si>
  <si>
    <t>Mahate: Napuda</t>
  </si>
  <si>
    <t>Mahate: Natugo</t>
  </si>
  <si>
    <t>Armed attack / abductions / fear</t>
  </si>
  <si>
    <t>349 children; 22 older people; 8 persons with disabilities</t>
  </si>
  <si>
    <t>Most in makeshift shelter; no safe water; open excavations near river; nearest health facility ~15 km; food support had been received</t>
  </si>
  <si>
    <t>Population described as relatively isolated from host communities</t>
  </si>
  <si>
    <t>NSAG presence remained a concern; four children remained missing from the incident</t>
  </si>
  <si>
    <t>Feasible by 4x4/truck; unpaved section vulnerable to erosion/rain</t>
  </si>
  <si>
    <t>Good for alert stage</t>
  </si>
  <si>
    <t>High is driven by verified current arrival conditions, especially unsafe water, inadequate shelter and limited health access.</t>
  </si>
  <si>
    <t>Balama: Nseue B; Mavala Sede; Npaca</t>
  </si>
  <si>
    <t>Balama: Messalo River area</t>
  </si>
  <si>
    <t>Armed attacks / burned houses</t>
  </si>
  <si>
    <t>Women and children highlighted for protection</t>
  </si>
  <si>
    <t>Shelter, NFIs, food, WASH, protection and psychosocial support</t>
  </si>
  <si>
    <t>Receiving host communities</t>
  </si>
  <si>
    <t>Recent attacks in the area; movement ongoing; security assessment required before intervention</t>
  </si>
  <si>
    <t>Mavala ~19 km from Balama; other distances unclear; security assessment required</t>
  </si>
  <si>
    <t>Recent security events, continued movement and need for security assessment support High despite limited arrival-condition detail.</t>
  </si>
  <si>
    <t>Macomia Sede: Nonge-Muagamula Centre</t>
  </si>
  <si>
    <t>AP not stated: Litandacua; Novo Cabo</t>
  </si>
  <si>
    <t>NSAG attacks / looting / burning / destruction</t>
  </si>
  <si>
    <t>New September shock and distinct caseload, but the same established receiving site already hosts former/protracted IDPs, creating potential cumulative pressure and contextual linkage to earlier Macomia displacement.</t>
  </si>
  <si>
    <t>98 HH arrived as of 7 Sep; screening/registration ongoing and additional arrivals expected</t>
  </si>
  <si>
    <t>No specific vulnerable groups quantified in the alert</t>
  </si>
  <si>
    <t>Most families fled without household assets or personal belongings and have limited resources; hosted by relatives, friends and former IDPs; no humanitarian assistance reported; food, shelter, NFIs, protection, WASH and health require verification</t>
  </si>
  <si>
    <t>Yes - former IDPs already settled in the centre are hosting new arrivals and sharing food</t>
  </si>
  <si>
    <t>Ongoing security concerns prevent return; no specific imminent protection threat at Nonge-Muagamula was reported</t>
  </si>
  <si>
    <t>Relatively easy humanitarian access via N1/N380; centre approximately 5 km from Macomia town</t>
  </si>
  <si>
    <t>Partial - arrival conditions require RNA verification</t>
  </si>
  <si>
    <t>The alert confirms displacement, no formal assistance, asset loss and pressure on an existing IDP site, but does not yet verify severe acute gaps or an immediate threat at the arrival site. Moderate is therefore appropriate with high source confidence.</t>
  </si>
  <si>
    <t>Ntamba Administrative Post: Ntamba IDP site and host community / village of Ntamba</t>
  </si>
  <si>
    <t>Nangade &amp; Mocímboa da Praia</t>
  </si>
  <si>
    <t>Nangade origins: Ngalonga, Liché, Nkonga, Nambedo, Muangaza; Mocímboa da Praia origins: Mitope, Chinda, 30 de Junho neighbourhood and Mocímboa da Praia</t>
  </si>
  <si>
    <t>Armed attacks / NSAG movements / fear of attacks and abductions</t>
  </si>
  <si>
    <t>Recurrent insecurity affected some locations also seen in earlier alerts, but this is a new September shock and a distinct flow to Ntamba; same households are not confirmed.</t>
  </si>
  <si>
    <t>Older people, women and children reported as vulnerable; no disaggregated counts</t>
  </si>
  <si>
    <t>Urgent needs flagged across food, shelter, NFIs, protection, WASH and health, but the alert does not document the actual severity of those gaps at arrival</t>
  </si>
  <si>
    <t>Yes / likely - arrivals are staying in an IDP site and host community; the alert does not quantify the pre-existing IDP caseload</t>
  </si>
  <si>
    <t>Fear of attacks and abductions drove movement; no specific current threat at Ntamba was reported and the Mueda–Ntamba route was described as relatively calm</t>
  </si>
  <si>
    <t>Good/feasible: about 40 km / 1 hour from Mueda; generally good road, light and heavy vehicles can pass; routine checkpoints</t>
  </si>
  <si>
    <t>Partial - severity of current arrival conditions not yet verified</t>
  </si>
  <si>
    <t>The alert confirms 176 newly arrived households, vulnerable groups and multi-sector needs, but it does not yet demonstrate severe acute conditions at Ntamba. The arrival route was relatively calm and accessible, so the provisional severity is Moderate.</t>
  </si>
  <si>
    <t>RRM_NRC_NANGADE_30092026</t>
  </si>
  <si>
    <t>Ntamba IDP site and host community and Muadi IDP site</t>
  </si>
  <si>
    <t>Mocimboa da Praia and Nangade</t>
  </si>
  <si>
    <t>In Mocimboa da Praia district in the villages of Mitope, Chinda, Mocimboa da Praia sede, Maputo, Quelimane, Diaca, Chinda, Mitope, Pangela and from Nangade sistrict people are coming from the villages of Ngalonga, Nambedo, Samora Machel, Namuavica, Nambuembe, Lijungo, and Litingina</t>
  </si>
  <si>
    <t xml:space="preserve">Mixed reactive + fear-driven, movement ongoing </t>
  </si>
  <si>
    <t xml:space="preserve">No </t>
  </si>
  <si>
    <t>Contextual continuation of insecurity in both Nangade and Mocimboa da Praia distric due to NSAG sporadic attacks</t>
  </si>
  <si>
    <t>1040 HH newly arrived in Ntamba and Muadi</t>
  </si>
  <si>
    <t xml:space="preserve">elders, women, and children were reported as vulnerables with urgent need of lifesaving humaniatrian assistance </t>
  </si>
  <si>
    <t>Food, shelter, non-food itms, protection, water, sanitation and hygiene (WASH), and health needs</t>
  </si>
  <si>
    <t xml:space="preserve">Yes - in Ntamba in particlurly there were repor indication that some of newly arrived are staying in host community </t>
  </si>
  <si>
    <t xml:space="preserve">Protection was reported as need at broader level with not specific details on the services required </t>
  </si>
  <si>
    <t>Access feable from Mueda to Ntamba and Muadi, covering approximately 50 km, in about one hour. Rout relatively calm with no recent security incidents reported. Road condition are generally good, allowing both light and heavy vehicles to move without major constrains.</t>
  </si>
  <si>
    <t>Change vs Alert</t>
  </si>
  <si>
    <t>Macomia (assessed); other alert destinations retained</t>
  </si>
  <si>
    <t>Muagamula/Muagamula-Nonje; AP not stated: Muagamula assessed; other alert destinations not reassessed</t>
  </si>
  <si>
    <t>Not consistently stated: Alert origins retained</t>
  </si>
  <si>
    <t>Mixed; new arrivals continuing</t>
  </si>
  <si>
    <t>Children, pregnant women, older people, PwD; child/nutrition concerns</t>
  </si>
  <si>
    <t>Serious shelter/NFI needs; serious food access constraints; unprotected wells/surface water; insufficient safe water; sanitation concerns; some shelters flooded and abandoned</t>
  </si>
  <si>
    <t>Host/borrowed housing common</t>
  </si>
  <si>
    <t>No host tensions reported by KIs</t>
  </si>
  <si>
    <t>No current major protection concern reported at assessed site; site darkness flagged as a potential concern</t>
  </si>
  <si>
    <t>Good: ~15 min from Macomia Sede; no major physical obstacles or unsafe route sections observed; checkpoint present</t>
  </si>
  <si>
    <t>Partial geographic RNA coverage</t>
  </si>
  <si>
    <t>RNA demonstrates several simultaneous serious current needs at the assessed arrival location; other destinations were not reassessed.</t>
  </si>
  <si>
    <t>Not stated: Mualela and Ntamba assessed; arrivals also reported in Muadi/Ntole</t>
  </si>
  <si>
    <t>Not stated: Alert origins retained</t>
  </si>
  <si>
    <t>Conflict / NSAG insecurity</t>
  </si>
  <si>
    <t>Ongoing reactive/fear-driven displacement</t>
  </si>
  <si>
    <t>Older people, women, children; child health/nutrition and pregnant/BF nutrition concerns</t>
  </si>
  <si>
    <t>Severe food constraints; poor/uninhabitable shelters; some homelessness; non-functional water systems; surface/purchased water; overcrowded/damaged latrines and open defecation</t>
  </si>
  <si>
    <t>Hosting confirmed</t>
  </si>
  <si>
    <t>Some tensions around land, services and assistance</t>
  </si>
  <si>
    <t>Some residual conflict/security concerns; insecurity mainly prevents return</t>
  </si>
  <si>
    <t>Generally feasible; alert access description retained where RNA did not supersede it</t>
  </si>
  <si>
    <t>RNA conducted in key receiving locations</t>
  </si>
  <si>
    <t>RNA converts generic needs into evidence of multiple serious current gaps in food, shelter and WASH.</t>
  </si>
  <si>
    <t>No RNA - alert values retained</t>
  </si>
  <si>
    <t>No RNA was provided, so the alert-stage severity and supporting information are retained.</t>
  </si>
  <si>
    <t>Nanjua A/B assessed; AP not stated: Nanjua A and Nanjua B assessed; Muaja/Majasse/Nsanja retained but not reassessed</t>
  </si>
  <si>
    <t>Children; pregnant women; older people; chronic illness; women/girls and PwD facing heightened risks/barriers</t>
  </si>
  <si>
    <t>88% food-access problems; 83% reduced meals; emergency shelter/NFI gaps; health access barriers; WASH constraints; psychosocial distress and missing documentation</t>
  </si>
  <si>
    <t>Strong reliance on host-family accommodation</t>
  </si>
  <si>
    <t>Host pressure and potential tensions over land, services and assistance</t>
  </si>
  <si>
    <t>Armed violence, theft/looting, harassment/extortion and documentation problems reported; psychosocial distress widespread</t>
  </si>
  <si>
    <t>No clear replacement route classification; alert limitations retained</t>
  </si>
  <si>
    <t>Partial geographic coverage; override unambiguous</t>
  </si>
  <si>
    <t>Critical remains driven by the ≥900 HH consortium rule; RNA independently confirms substantial current needs.</t>
  </si>
  <si>
    <t>Namanhumbir: Namanhumbire; later Tier 2 primarily Nanhupo and Ecubure/Ucuburi</t>
  </si>
  <si>
    <t>Not stated: Nacuja and nearby origins</t>
  </si>
  <si>
    <t>Armed attack / fear</t>
  </si>
  <si>
    <t>Ongoing displacement</t>
  </si>
  <si>
    <t>IDP; Tier 2 sample later mixed</t>
  </si>
  <si>
    <t>Wider Ancuabe–Montepuez crisis; distinct 5 May displacement flow</t>
  </si>
  <si>
    <t>Children, women/girls, older people, PwD, children under 5, pregnant/BF women; Tier 2 also identifies female-headed HH</t>
  </si>
  <si>
    <t>Severe food access; negative coping; severe/immediate shelter/NFI gaps; overcrowded sanitation; many HH with very limited safe water; nutrition concerns; Tier 2 still found major food/shelter/WASH gaps after assistance</t>
  </si>
  <si>
    <t>Host HH absorbing displacement; pressure on food, water and shelter</t>
  </si>
  <si>
    <t>No social tensions reported in initial RNA</t>
  </si>
  <si>
    <t>Few direct site concerns, but nearby insecurity and unsafe routes remained relevant</t>
  </si>
  <si>
    <t>Feasible with constraints: poor road/potholes, checkpoints and nearby insecure areas; Tier 2 follow-up broadly feasible</t>
  </si>
  <si>
    <t>Good for main receiving area; caseload verification still needed</t>
  </si>
  <si>
    <t>High is firmly grounded in current food, shelter and WASH conditions; Tier 2 shows important residual needs remained.</t>
  </si>
  <si>
    <t>Maningane/Manicane and Megarruma assessed: Maningane/Manicane and Megarruma; host neighbourhoods retained</t>
  </si>
  <si>
    <t>Metoro / others not stated: Alert origins retained</t>
  </si>
  <si>
    <t>Conflict / armed attacks</t>
  </si>
  <si>
    <t>Reactive + fear-driven</t>
  </si>
  <si>
    <t>Wider regional escalation; same-household overlap not established</t>
  </si>
  <si>
    <t>PwD/reduced-mobility groups; some unaccompanied children observed</t>
  </si>
  <si>
    <t>92% insufficient food; average 1.64 meals/day; 60% people without shelter; overcrowded/makeshift/open-air sleeping; 76% insufficient safe water; open defecation; health access often &gt;60 min</t>
  </si>
  <si>
    <t>Significant hosting pressure</t>
  </si>
  <si>
    <t>Relations generally good/sufficient despite pressure</t>
  </si>
  <si>
    <t>Unsafe routes/movement restrictions; missing documentation; poor lighting/privacy; UAC concerns</t>
  </si>
  <si>
    <t>Operational access possible but movement/protection concerns remain; alert road constraints retained</t>
  </si>
  <si>
    <t>Indicative; caseload threshold unresolved</t>
  </si>
  <si>
    <t>RNA strongly confirms High through severe food, shelter, WASH and health-access gaps plus movement-related protection concerns.</t>
  </si>
  <si>
    <t>Namuno / reported onward Montepuez not separately assessed</t>
  </si>
  <si>
    <t>Muanona, Meloco AP assessed; reported onward destinations unresolved: Assessment conducted in Muanona; reported onward arrivals toward Meloco town/Montepueze were not separately assessed</t>
  </si>
  <si>
    <t>Meloco: Muanona (also the assessed current area)</t>
  </si>
  <si>
    <t>Armed NSAG attack, destruction, deaths and looting</t>
  </si>
  <si>
    <t>Reactive; movement remained fluid</t>
  </si>
  <si>
    <t>Mixed alert-linked affected population</t>
  </si>
  <si>
    <t>Women/girls, children, older people, PwD, pregnant/BF women and other vulnerable groups</t>
  </si>
  <si>
    <t>83% insufficient food; ~1.8 meals/day; 100% interviewed HH reported damaged/destroyed homes; severe visible shelter destruction; 83% insufficient safe water; sanitation problems; major medicine/staff gaps; nearest health centre reportedly empty</t>
  </si>
  <si>
    <t>Mixed hosting/affected population; overcrowding/hosting pressure reported</t>
  </si>
  <si>
    <t>Community tensions/discrimination reported</t>
  </si>
  <si>
    <t>All KIIs and interviewed HH reported safety/protection concerns; unsafe routes/movement restrictions universal; threats/harassment, family separation, exploitation/abuse and HLP issues also reported</t>
  </si>
  <si>
    <t>Major constraint: poor/damaged sandy route, flooding/erosion/culvert damage; trucks could not access; immediate response judged not feasible</t>
  </si>
  <si>
    <t>Level 4 - Critical</t>
  </si>
  <si>
    <t>Scored with geographic-evidence caveat</t>
  </si>
  <si>
    <t>Multiple concurrent extreme conditions meet the Critical threshold despite the assessment geography not matching all reported onward-arrival locations.</t>
  </si>
  <si>
    <t>Mesa &amp; Ancuabe APs: Nanjua and Ntuto assessed; other receiving locations retained</t>
  </si>
  <si>
    <t>Repeated armed attacks</t>
  </si>
  <si>
    <t>Reactive; movement fluid</t>
  </si>
  <si>
    <t>New June displacement wave in the wider Ancuabe crisis; later linked to return movement</t>
  </si>
  <si>
    <t>Pregnant/BF women, children, older people, PwD, newly arrived HH; family separation/UAC and GBV/SEA concerns</t>
  </si>
  <si>
    <t>84% insufficient food; 1.45 meals/day; 79% people without shelter; major NFI gaps; 61% insufficient safe water; non-/partially functioning water points; sanitation gaps; healthcare and nutrition barriers</t>
  </si>
  <si>
    <t>Many staying with hosts or in borrowed houses; visible hosting pressure</t>
  </si>
  <si>
    <t>Some tensions linked to unequal assistance, competition for resources, hosting pressure and rising prices</t>
  </si>
  <si>
    <t>84% reported insecurity/unsafe movement; family separation/UAC, some GBV/SEA risk and one explosive-ordnance/civilian-casualty concern</t>
  </si>
  <si>
    <t>Feasible with constraints: roads fair/passable; light vehicles/trucks fully or partly accessible; insecurity and rainy-season deterioration</t>
  </si>
  <si>
    <t>Indicative but adequate for alert-level review</t>
  </si>
  <si>
    <t>RNA establishes simultaneous severe food, shelter and WASH deprivation plus protection concerns, increasing severity from Moderate to High.</t>
  </si>
  <si>
    <t>Namanhumbir: Namanhumbire/Nanhupo assessed; Ucuburi and Chimoio retained</t>
  </si>
  <si>
    <t>Chiúre / neighbouring areas</t>
  </si>
  <si>
    <t>Not consistently stated: Nsanja and associated villages</t>
  </si>
  <si>
    <t>Conflict / insecurity</t>
  </si>
  <si>
    <t>Potential overlap with the earlier Namanhumbire caseload; RNA explicitly screened respondents to distinguish the newer flow</t>
  </si>
  <si>
    <t>Children, women, elderly, PwD, pregnant/BF women; family separation/UAC concerns</t>
  </si>
  <si>
    <t>90% insufficient food; reduced meals; 80% people without shelter; some sleeping in open; 70% using unprotected wells; insufficient water; non-functional water points; health/nutrition barriers</t>
  </si>
  <si>
    <t>Already hosting earlier caseload; host families sharing resources</t>
  </si>
  <si>
    <t>Some community tensions/discrimination reported</t>
  </si>
  <si>
    <t>83% of KIIs flagged insecurity/unsafe movement; family separation/UAC and assistance-exclusion/crowding risks</t>
  </si>
  <si>
    <t>Operationally feasible: light vehicles/trucks could access; potholes, checkpoints and rainy-season risks</t>
  </si>
  <si>
    <t>Good for main assessed receiving area; not all alert locations covered</t>
  </si>
  <si>
    <t>RNA strongly confirms severe current needs and continuing protection concerns; overlap screening helps avoid double counting.</t>
  </si>
  <si>
    <t>Mirate: Mararange, Mavala/Madalena and Mavanda; household interviews in Mararange and Mavanda</t>
  </si>
  <si>
    <t>Mirate area: Alert origins retained; precise household origins still not fully disaggregated</t>
  </si>
  <si>
    <t>Armed-group activity / fear</t>
  </si>
  <si>
    <t>Predominantly fear-driven / pre-emptive</t>
  </si>
  <si>
    <t>6/14 interviewed HH included pregnant/BF member; 1/14 included a person with disability; broader concerns for women/girls, children and older people</t>
  </si>
  <si>
    <t>Universal severe food access; average 1.6 meals/day; inadequate/overcrowded shelter; WASH capacity pressure; uneven health access</t>
  </si>
  <si>
    <t>Largely with host families/relatives; substantial hosting pressure</t>
  </si>
  <si>
    <t>Host-IDP relations broadly positive; no consistent pattern of tensions</t>
  </si>
  <si>
    <t>Unsafe movement/routes; missing documentation; distribution crowding/security risks</t>
  </si>
  <si>
    <t>Generally feasible with constraints: dirt roads, potholes/mud, partial vehicle access, insecurity and rainy-season risks</t>
  </si>
  <si>
    <t>Possible - 884 HH and arrivals ongoing</t>
  </si>
  <si>
    <t>Good for major assessed locations; Mavala less directly covered</t>
  </si>
  <si>
    <t>High is strongly confirmed by severe food insecurity, inadequate/overcrowded shelter and WASH pressure; 884 HH remains below the automatic threshold.</t>
  </si>
  <si>
    <t>Mavala: Mavala Sede and Nseue B assessed; Npaca not observed</t>
  </si>
  <si>
    <t>Armed attacks / fear</t>
  </si>
  <si>
    <t>Reactive/fear-driven; some households subsequently returned</t>
  </si>
  <si>
    <t>Predominantly IDP; some reported return</t>
  </si>
  <si>
    <t>Women/newly displaced HH; caregiving concerns involving children, older people and PwD</t>
  </si>
  <si>
    <t>15/16 serious food problem; all 16 unsuitable shelter; widespread NFI gaps; WASH quality/sanitation concerns; major healthcare-access problems</t>
  </si>
  <si>
    <t>Most displaced HH reportedly with host families/friends</t>
  </si>
  <si>
    <t>Mixed: 4/8 KIs no tension, 3 moderate, 1 serious</t>
  </si>
  <si>
    <t>13/16 serious safety/protection concerns; 12/16 movement difficulty; all 16 family separation as serious; 15/16 serious distress</t>
  </si>
  <si>
    <t>Physically accessible; dirt roads passable at assessment; light vehicles/trucks could reach both sites; rainy-season deterioration possible</t>
  </si>
  <si>
    <t>Good for Mavala Sede/Nseue B; Npaca not covered</t>
  </si>
  <si>
    <t>RNA confirms High through substantive current food, shelter and protection problems; no ≥900 override or sufficient basis for Critical.</t>
  </si>
  <si>
    <t>Macomia Sede: Nonge-Muagamula IDP site</t>
  </si>
  <si>
    <t>Reactive; newly arrived IDPs remained displaced and 11/12 interviewed households planned to stay</t>
  </si>
  <si>
    <t>IDP; RNA sample includes alert-linked and protracted IDPs</t>
  </si>
  <si>
    <t>New September shock and distinct caseload; the RNA confirms cumulative pressure at an established IDP site that also contains protracted IDP households.</t>
  </si>
  <si>
    <t>98 HH retained from alert; 15 Sep KII estimated ~140 people at the site, not directly comparable; registration data are needed</t>
  </si>
  <si>
    <t>Older people were present in the sample (4 respondents aged 60+); 0/12 met the Washington Group disability threshold; family separation and caregiving difficulties were reported; alert-wide prevalence is not established</t>
  </si>
  <si>
    <t>10/12 reported serious food problems; 10/12 inadequate shelter; 10/12 insufficient clothing/bedding; 6/12 serious safe-water problems; 9/12 toilet-access problems; 10/12 hygiene problems; some healthcare barriers; all 12 reported no humanitarian assistance in the previous three months</t>
  </si>
  <si>
    <t>Yes - Nonge-Muagamula includes former/protracted IDPs and newly arrived IDPs, with cumulative pressure on shelter, food and basic services</t>
  </si>
  <si>
    <t>One KI reported serious displaced-resident tensions, but this was not triangulated and requires verification</t>
  </si>
  <si>
    <t>8/12 reported serious distress, 5/12 family separation, 3/12 safety/protection concerns and 4/12 serious movement difficulties; no clear immediate threat to life at the site was established</t>
  </si>
  <si>
    <t>Main road was paved and in good condition and accessible to light vehicles/trucks; checkpoints/security forces observed; weak mobile/internet connectivity; some household movement barriers remained</t>
  </si>
  <si>
    <t>Indicative - 1 KII, 12 purposive household interviews (7 alert-linked, 5 protracted IDPs) and 1 observation; findings are not representative</t>
  </si>
  <si>
    <t>Multiple serious and concurrent food, shelter/NFI and WASH gaps are supported across the assessment tools. Protection concerns are present but mixed and do not independently indicate a Critical situation; the caseload is far below the ≥900 HH override.</t>
  </si>
  <si>
    <t>Ntamba Administrative Post: Ntamba IDP site and host community / assessed Ntamba area</t>
  </si>
  <si>
    <t>Alert origins retained: Ngalonga, Liché, Nkonga, Nambedo, Muangaza; Mitope, Chinda, 30 de Junho neighbourhood and Mocímboa da Praia</t>
  </si>
  <si>
    <t>Armed attacks / insecurity / fear of attacks and abductions</t>
  </si>
  <si>
    <t>Mixed reactive + fear-driven; displacement remained current and most interviewed households intended to stay</t>
  </si>
  <si>
    <t>IDP; RNA sample includes newly arrived alert-linked and protracted IDP households</t>
  </si>
  <si>
    <t>New September displacement to Ntamba. Some origin locations recur in earlier alerts, but this is treated as a distinct alert-linked caseload and the same households are not confirmed.</t>
  </si>
  <si>
    <t>93 people - final verified alert-linked caseload. This replaces the preliminary alert estimate of 176 HH.</t>
  </si>
  <si>
    <t>Older people, women and children were reported as vulnerable at alert stage. RNA also identified family separation, caregiving difficulties and psychosocial distress, but the purposive assessment does not establish population-level prevalence.</t>
  </si>
  <si>
    <t>Food, shelter/NFI and WASH concerns were frequently reported among interviewed households: 12/13 reported food as a serious problem, 13/13 reported inadequate shelter, 11/13 insufficient safe water, and 9/13 serious sanitation and hygiene problems. Healthcare-access barriers were also reported. However, the household sample was purposive and findings are not representative of the full affected population.</t>
  </si>
  <si>
    <t>Yes - Ntamba includes displaced households, protracted IDPs and host-community accommodation, creating some additional pressure on shelter, food, water and services.</t>
  </si>
  <si>
    <t>KIs reported some moderate community tensions: 2/4 described tensions between displaced people and local residents and 3/4 reported moderate tensions between groups more generally.</t>
  </si>
  <si>
    <t>Protection concerns included perceived lack of safety, family separation and psychosocial distress. 8/13 households reported serious safety/protection concerns, 10/13 family separation and 9/13 serious distress. Structured observations nevertheless described a generally calm environment and did not identify an immediate threat at the site.</t>
  </si>
  <si>
    <t>Humanitarian vehicle access was possible on both observed routes. One route was paved and in good condition and the other dirt but passable; no road obstacles were observed and both light vehicles and trucks could access Ntamba.</t>
  </si>
  <si>
    <t>Indicative - 4 KIIs, 13 purposive HESPER interviews (10 complete, 3 incomplete) and 2 structured observations. Findings are not statistically representative; final verified alert-linked caseload is 93 people.</t>
  </si>
  <si>
    <t>The RNA identifies several important household-level food, shelter/NFI, WASH and protection concerns, but the final verified alert-linked caseload was only 93 people and the purposive household findings cannot be interpreted as prevalence across the full caseload. Operational access remained feasible, services were present, observations described a generally calm environment, and no immediate life-threatening condition was established. Moderate is therefore retained at RNA stage.</t>
  </si>
  <si>
    <t>No change</t>
  </si>
  <si>
    <t xml:space="preserve">Ntamba IDP site and Muadi host community </t>
  </si>
  <si>
    <t>Mitope and Chinda, and Mocimboa da Praia sede (Maputo, Quelimane, Diaca, Chinda, Mitope, Pangele). In Nangade, from the villages of Ngalonga, Nambedo, Samora Machel, Namuavica, Namuembe, Lijungo, and Litingina.</t>
  </si>
  <si>
    <t>Armed attack / abduction / fear</t>
  </si>
  <si>
    <t>RRM_NRC_NANGADE_15092026_IDP,RRM_NRC_NANGADE_30092026</t>
  </si>
  <si>
    <t>September shock and wider crises affecting the district of Mocimboa da Praia and Nangade</t>
  </si>
  <si>
    <t>1040 Displaced HH</t>
  </si>
  <si>
    <t>21 of 22 interviewed households reported food as serious problem, 21 of 22 households reported water as serious problems and 13 of 22 households ranked among the top three, 18 of 22 households reporting shelter as a serious, 21 of 22 households reporting clothing, bedding or related household-item needs as serious, Family separation/care concerns were reported by 18 of 22 households, while 15 of 22 reported distress and 13 of 22 reported movement-related problems, Health concerns were reported by 10 of 22 households</t>
  </si>
  <si>
    <t xml:space="preserve">yes - in Ntamba some of displaced people were hosted by the old IDPs in the site whilst for Muadi the hosy community were hosting the newly arrivd families </t>
  </si>
  <si>
    <t xml:space="preserve">No tention reported </t>
  </si>
  <si>
    <t>Eleven of 22 households reported safety/protection as a serious problem, 13 of 22 reported movement as a serious problem, 18 of 22 reported family care/separation concerns, and 15 of 22 reported distress, worry or fear.</t>
  </si>
  <si>
    <t>No major road-access constraint was specifically reported by the assessed households; however, the recent displacement context and security concerns may affect safe and sustained access to affected communities.</t>
  </si>
  <si>
    <t xml:space="preserve">Good for main receiving area; caseload verification still needed and the movement was still ongoing </t>
  </si>
  <si>
    <t xml:space="preserve">The RNA findg indicate needs on food, water and shelter as top three priority. The caseload in also above 900 HH classifying the situation as critical </t>
  </si>
  <si>
    <t>Simplified MOZ-RRM Severity Scoring Framework</t>
  </si>
  <si>
    <t>Numeric</t>
  </si>
  <si>
    <t>Operational threshold</t>
  </si>
  <si>
    <t>Value</t>
  </si>
  <si>
    <t>Pending closure threshold (days)</t>
  </si>
  <si>
    <t>Nominal closure threshold (days)</t>
  </si>
  <si>
    <t>Core principles</t>
  </si>
  <si>
    <t>1. One severity classification is maintained per Alert ID, even where there are several arrival locations.</t>
  </si>
  <si>
    <t>2. Severity should primarily reflect the current humanitarian situation of the alert-linked population where they are now.</t>
  </si>
  <si>
    <t>3. Overall severity is the highest supported level across two core domains: Current Humanitarian Conditions and Current Protection / Ongoing Threat.</t>
  </si>
  <si>
    <t>4. A verified alert-linked caseload of ≥900 HH automatically gives Critical severity and triggers wider JRP engagement.</t>
  </si>
  <si>
    <t>5. Missing information is not scored as no problem. A severity level may still be assigned from available evidence, but completeness/confidence must be flagged.</t>
  </si>
  <si>
    <t>6. Vulnerability, host pressure, access and response coverage inform interpretation and response planning but are not additive severity points.</t>
  </si>
  <si>
    <t>7. At RNA stage, update only fields for which the assessment provides stronger/new evidence; otherwise retain the alert-stage information.</t>
  </si>
  <si>
    <t>Domain anchors</t>
  </si>
  <si>
    <t>Level</t>
  </si>
  <si>
    <t>Current humanitarian conditions</t>
  </si>
  <si>
    <t>Current protection / ongoing threat</t>
  </si>
  <si>
    <t>No current acute basic-needs gap; minimum water, food, shelter and urgent healthcare generally accessible.</t>
  </si>
  <si>
    <t>No current or imminent protection/safety threat affecting the population at its present location or necessary movement route.</t>
  </si>
  <si>
    <t>Clear unmet needs exist, but minimum survival needs are broadly still being met; no verified life-saving/time-critical condition.</t>
  </si>
  <si>
    <t>Residual insecurity or protection concerns remain, but no evidence of an immediate threat to life/safety at the present location.</t>
  </si>
  <si>
    <t>A major acute gap or several simultaneous serious gaps affect a meaningful part of the alert-linked population; urgent assistance is required.</t>
  </si>
  <si>
    <t>A serious ongoing threat affects safety or movement: unsafe routes, continuing/repeated displacement, nearby armed activity, serious unresolved protection concerns.</t>
  </si>
  <si>
    <t>Verified immediate threat to survival or multiple extreme concurrent gaps requiring immediate action.</t>
  </si>
  <si>
    <t>Current/imminent threat to life or physical safety affecting the population where they are now or on a necessary movement route.</t>
  </si>
  <si>
    <t>Overall severity and update rules</t>
  </si>
  <si>
    <t>Rule</t>
  </si>
  <si>
    <t>Application</t>
  </si>
  <si>
    <t>≥900 HH override</t>
  </si>
  <si>
    <t>Critical automatically, regardless of the two domain ratings. Keep the underlying evidence and note that Critical is override-driven.</t>
  </si>
  <si>
    <t>Otherwise</t>
  </si>
  <si>
    <t>Overall severity = highest supported level across the two core domains.</t>
  </si>
  <si>
    <t>Unknown domain</t>
  </si>
  <si>
    <t>Do not convert unknown to Low. If one domain is known, severity may still be assigned from it, with Partial completeness and reduced confidence.</t>
  </si>
  <si>
    <t>Critical from conditions</t>
  </si>
  <si>
    <t>Use sparingly: immediate threat to life/survival or multiple concurrent extreme gaps, not merely a long list of sector needs.</t>
  </si>
  <si>
    <t>Alert → RNA</t>
  </si>
  <si>
    <t>Preserve the provisional alert severity. Reassess the same framework using RNA evidence; retain alert-stage values where the RNA provides no update.</t>
  </si>
  <si>
    <t>Geographic mismatch</t>
  </si>
  <si>
    <t>Score the best available alert-linked evidence if required, but flag the geographic caveat and reduce confidence rather than hiding the score.</t>
  </si>
  <si>
    <t>Status rule</t>
  </si>
  <si>
    <t>For this historical registry: &gt;80 days = Pending closure until formally confirmed; ≤80 days with RNA completed = Ongoing alert; ≤80 days without RNA = Open - RNA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</si>
</sst>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4">
    <font>
      <sz val="11"/>
      <name val="Carlito"/>
    </font>
    <font>
      <b/>
      <sz val="16"/>
      <color rgb="FFFFFFFF"/>
      <name val="Carlito"/>
    </font>
    <font>
      <b/>
      <sz val="10"/>
      <color rgb="FFFFFFFF"/>
      <name val="Carlito"/>
    </font>
    <font>
      <sz val="10"/>
      <name val="Carlito"/>
    </font>
    <font>
      <b/>
      <sz val="11"/>
      <color rgb="FFFFFFFF"/>
      <name val="Carlito"/>
    </font>
    <font>
      <sz val="10"/>
      <color rgb="FF17365D"/>
      <name val="Carlito"/>
    </font>
    <font>
      <b/>
      <sz val="11"/>
      <color rgb="FF17365D"/>
      <name val="Carlito"/>
    </font>
    <font>
      <b/>
      <sz val="18"/>
      <color rgb="FF0F6B6D"/>
      <name val="Carlito"/>
    </font>
    <font>
      <b/>
      <sz val="10"/>
      <color rgb="FF0F6B6D"/>
      <name val="Carlito"/>
    </font>
    <font>
      <b/>
      <sz val="10"/>
      <color rgb="FF17365D"/>
      <name val="Carlito"/>
    </font>
    <font>
      <b/>
      <sz val="11"/>
      <color rgb="FF0F6B6D"/>
      <name val="Carlito"/>
    </font>
    <font>
      <sz val="10"/>
      <color theme="1"/>
      <name val="Carlito"/>
    </font>
    <font>
      <sz val="11"/>
      <color rgb="FF000000"/>
      <name val="Carlito"/>
    </font>
    <font>
      <sz val="10"/>
      <name val="Aptos"/>
      <family val="2"/>
      <charset val="1"/>
    </font>
  </fonts>
  <fills count="14">
    <fill>
      <patternFill patternType="none"/>
    </fill>
    <fill>
      <patternFill patternType="gray125"/>
    </fill>
    <fill>
      <patternFill patternType="solid">
        <fgColor rgb="FF17365D"/>
      </patternFill>
    </fill>
    <fill>
      <patternFill patternType="solid">
        <fgColor rgb="FF2F75B5"/>
      </patternFill>
    </fill>
    <fill>
      <patternFill patternType="solid">
        <fgColor rgb="FF0F6B6D"/>
      </patternFill>
    </fill>
    <fill>
      <patternFill patternType="solid">
        <fgColor rgb="FFE2F0D9"/>
      </patternFill>
    </fill>
    <fill>
      <patternFill patternType="solid">
        <fgColor rgb="FFFFF2CC"/>
      </patternFill>
    </fill>
    <fill>
      <patternFill patternType="solid">
        <fgColor rgb="FFFCE4D6"/>
      </patternFill>
    </fill>
    <fill>
      <patternFill patternType="solid">
        <fgColor rgb="FFF4CCCC"/>
      </patternFill>
    </fill>
    <fill>
      <patternFill patternType="solid">
        <fgColor rgb="FFF3F6F9"/>
      </patternFill>
    </fill>
    <fill>
      <patternFill patternType="solid">
        <fgColor rgb="FFD9EAF7"/>
      </patternFill>
    </fill>
    <fill>
      <patternFill patternType="solid">
        <fgColor rgb="FFFFFFFF"/>
      </patternFill>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right/>
      <top/>
      <bottom/>
      <diagonal/>
    </border>
    <border>
      <left/>
      <right/>
      <top style="thin">
        <color theme="4" tint="0.39997558519241921"/>
      </top>
      <bottom/>
      <diagonal/>
    </border>
  </borders>
  <cellStyleXfs count="1">
    <xf numFmtId="0" fontId="0" fillId="0" borderId="0"/>
  </cellStyleXfs>
  <cellXfs count="34">
    <xf numFmtId="0" fontId="0" fillId="0" borderId="0" xfId="0"/>
    <xf numFmtId="0" fontId="2" fillId="3" borderId="0" xfId="0" applyFont="1" applyFill="1" applyAlignment="1">
      <alignment horizontal="center" vertical="center" wrapText="1"/>
    </xf>
    <xf numFmtId="0" fontId="2" fillId="3" borderId="1" xfId="0" applyFont="1" applyFill="1" applyBorder="1" applyAlignment="1">
      <alignment horizontal="center" vertical="center" wrapText="1"/>
    </xf>
    <xf numFmtId="0" fontId="3" fillId="0" borderId="0" xfId="0" applyFont="1" applyAlignment="1">
      <alignment vertical="top" wrapText="1"/>
    </xf>
    <xf numFmtId="0" fontId="3" fillId="5" borderId="0" xfId="0" applyFont="1" applyFill="1" applyAlignment="1">
      <alignment vertical="top" wrapText="1"/>
    </xf>
    <xf numFmtId="0" fontId="3" fillId="6" borderId="0" xfId="0" applyFont="1" applyFill="1" applyAlignment="1">
      <alignment vertical="top" wrapText="1"/>
    </xf>
    <xf numFmtId="0" fontId="3" fillId="7" borderId="0" xfId="0" applyFont="1" applyFill="1" applyAlignment="1">
      <alignment vertical="top" wrapText="1"/>
    </xf>
    <xf numFmtId="0" fontId="3" fillId="8" borderId="0" xfId="0" applyFont="1" applyFill="1" applyAlignment="1">
      <alignment vertical="top" wrapText="1"/>
    </xf>
    <xf numFmtId="0" fontId="8" fillId="0" borderId="0" xfId="0" applyFont="1" applyAlignment="1">
      <alignment vertical="top" wrapText="1"/>
    </xf>
    <xf numFmtId="0" fontId="9" fillId="0" borderId="0" xfId="0" applyFont="1" applyAlignment="1">
      <alignment vertical="top" wrapText="1"/>
    </xf>
    <xf numFmtId="164" fontId="10" fillId="11" borderId="0" xfId="0" applyNumberFormat="1" applyFont="1" applyFill="1" applyAlignment="1">
      <alignment horizontal="center"/>
    </xf>
    <xf numFmtId="0" fontId="11" fillId="12" borderId="2" xfId="0" applyFont="1" applyFill="1" applyBorder="1" applyAlignment="1">
      <alignment vertical="top" wrapText="1"/>
    </xf>
    <xf numFmtId="164" fontId="11" fillId="12" borderId="2" xfId="0" applyNumberFormat="1" applyFont="1" applyFill="1" applyBorder="1" applyAlignment="1">
      <alignment vertical="top" wrapText="1"/>
    </xf>
    <xf numFmtId="1" fontId="11" fillId="12" borderId="2" xfId="0" applyNumberFormat="1" applyFont="1" applyFill="1" applyBorder="1" applyAlignment="1">
      <alignment vertical="top" wrapText="1"/>
    </xf>
    <xf numFmtId="0" fontId="11" fillId="0" borderId="2" xfId="0" applyFont="1" applyBorder="1" applyAlignment="1">
      <alignment vertical="top" wrapText="1"/>
    </xf>
    <xf numFmtId="164" fontId="11" fillId="0" borderId="2" xfId="0" applyNumberFormat="1" applyFont="1" applyBorder="1" applyAlignment="1">
      <alignment vertical="top" wrapText="1"/>
    </xf>
    <xf numFmtId="1" fontId="11" fillId="0" borderId="2" xfId="0" applyNumberFormat="1" applyFont="1" applyBorder="1" applyAlignment="1">
      <alignment vertical="top" wrapText="1"/>
    </xf>
    <xf numFmtId="0" fontId="12" fillId="0" borderId="1" xfId="0" applyFont="1" applyBorder="1"/>
    <xf numFmtId="0" fontId="0" fillId="0" borderId="0" xfId="0" applyAlignment="1">
      <alignment vertical="top" wrapText="1"/>
    </xf>
    <xf numFmtId="0" fontId="11" fillId="13" borderId="2" xfId="0" applyFont="1" applyFill="1" applyBorder="1" applyAlignment="1">
      <alignment vertical="top" wrapText="1"/>
    </xf>
    <xf numFmtId="164" fontId="11" fillId="13" borderId="2" xfId="0" applyNumberFormat="1" applyFont="1" applyFill="1" applyBorder="1" applyAlignment="1">
      <alignment vertical="top" wrapText="1"/>
    </xf>
    <xf numFmtId="1" fontId="11" fillId="13" borderId="2" xfId="0" applyNumberFormat="1" applyFont="1" applyFill="1" applyBorder="1" applyAlignment="1">
      <alignment vertical="top" wrapText="1"/>
    </xf>
    <xf numFmtId="0" fontId="0" fillId="13" borderId="0" xfId="0" applyFill="1"/>
    <xf numFmtId="0" fontId="13" fillId="0" borderId="0" xfId="0" applyFont="1" applyAlignment="1">
      <alignment wrapText="1"/>
    </xf>
    <xf numFmtId="0" fontId="1" fillId="2" borderId="0" xfId="0" applyFont="1" applyFill="1" applyAlignment="1">
      <alignment vertical="center"/>
    </xf>
    <xf numFmtId="0" fontId="5" fillId="9" borderId="0" xfId="0" applyFont="1" applyFill="1" applyAlignment="1">
      <alignment vertical="center" wrapText="1"/>
    </xf>
    <xf numFmtId="0" fontId="4" fillId="4" borderId="0" xfId="0" applyFont="1" applyFill="1" applyAlignment="1">
      <alignment vertical="center"/>
    </xf>
    <xf numFmtId="0" fontId="6" fillId="10" borderId="0" xfId="0" applyFont="1" applyFill="1" applyAlignment="1">
      <alignment horizontal="center" vertical="center"/>
    </xf>
    <xf numFmtId="0" fontId="7" fillId="11" borderId="0" xfId="0" applyFont="1" applyFill="1" applyAlignment="1">
      <alignment horizontal="center" vertical="center"/>
    </xf>
    <xf numFmtId="0" fontId="6" fillId="10" borderId="0" xfId="0" applyFont="1" applyFill="1" applyAlignment="1">
      <alignment horizontal="center"/>
    </xf>
    <xf numFmtId="0" fontId="0" fillId="11" borderId="0" xfId="0" applyFill="1" applyAlignment="1">
      <alignment horizontal="center" vertical="center"/>
    </xf>
    <xf numFmtId="0" fontId="3" fillId="0" borderId="0" xfId="0" applyFont="1" applyAlignment="1">
      <alignment vertical="top" wrapText="1"/>
    </xf>
    <xf numFmtId="0" fontId="3" fillId="0" borderId="0" xfId="0" applyFont="1" applyAlignment="1">
      <alignment horizontal="left" vertical="top" wrapText="1"/>
    </xf>
    <xf numFmtId="0" fontId="0" fillId="0" borderId="0" xfId="0" applyAlignment="1"/>
  </cellXfs>
  <cellStyles count="1">
    <cellStyle name="Normal" xfId="0" builtinId="0"/>
  </cellStyles>
  <dxfs count="106">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numFmt numFmtId="164" formatCode="dd\-mmm\-yyyy"/>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dxf>
    <dxf>
      <font>
        <b/>
        <i val="0"/>
        <strike val="0"/>
        <condense val="0"/>
        <extend val="0"/>
        <outline val="0"/>
        <shadow val="0"/>
        <u val="none"/>
        <vertAlign val="baseline"/>
        <sz val="10"/>
        <color rgb="FFFFFFFF"/>
        <name val="Carlito"/>
        <scheme val="none"/>
      </font>
      <fill>
        <patternFill patternType="solid">
          <fgColor indexed="64"/>
          <bgColor rgb="FF2F75B5"/>
        </patternFill>
      </fill>
      <alignment horizontal="center" vertical="center" textRotation="0" wrapText="1" indent="0" justifyLastLine="0" shrinkToFit="0" readingOrder="0"/>
    </dxf>
    <dxf>
      <fill>
        <patternFill patternType="solid">
          <bgColor rgb="FFE2F0D9"/>
        </patternFill>
      </fill>
    </dxf>
    <dxf>
      <fill>
        <patternFill patternType="solid">
          <bgColor rgb="FFFFF2CC"/>
        </patternFill>
      </fill>
    </dxf>
    <dxf>
      <font>
        <b/>
      </font>
      <fill>
        <patternFill patternType="solid">
          <bgColor rgb="FFFCE4D6"/>
        </patternFill>
      </fill>
    </dxf>
    <dxf>
      <font>
        <b/>
        <color rgb="FF9C0006"/>
      </font>
      <fill>
        <patternFill patternType="solid">
          <bgColor rgb="FFF4CCCC"/>
        </patternFill>
      </fill>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numFmt numFmtId="164" formatCode="dd\-mmm\-yyyy"/>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dxf>
    <dxf>
      <font>
        <b/>
        <i val="0"/>
        <strike val="0"/>
        <condense val="0"/>
        <extend val="0"/>
        <outline val="0"/>
        <shadow val="0"/>
        <u val="none"/>
        <vertAlign val="baseline"/>
        <sz val="10"/>
        <color rgb="FFFFFFFF"/>
        <name val="Carlito"/>
        <scheme val="none"/>
      </font>
      <fill>
        <patternFill patternType="solid">
          <fgColor indexed="64"/>
          <bgColor rgb="FF2F75B5"/>
        </patternFill>
      </fill>
      <alignment horizontal="center" vertical="center" textRotation="0" wrapText="1" indent="0" justifyLastLine="0" shrinkToFit="0" readingOrder="0"/>
    </dxf>
    <dxf>
      <fill>
        <patternFill patternType="solid">
          <bgColor rgb="FFE2F0D9"/>
        </patternFill>
      </fill>
    </dxf>
    <dxf>
      <fill>
        <patternFill patternType="solid">
          <bgColor rgb="FFFFF2CC"/>
        </patternFill>
      </fill>
    </dxf>
    <dxf>
      <font>
        <b/>
      </font>
      <fill>
        <patternFill patternType="solid">
          <bgColor rgb="FFFCE4D6"/>
        </patternFill>
      </fill>
    </dxf>
    <dxf>
      <font>
        <b/>
        <color rgb="FF9C0006"/>
      </font>
      <fill>
        <patternFill patternType="solid">
          <bgColor rgb="FFF4CCCC"/>
        </patternFill>
      </fill>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numFmt numFmtId="1" formatCode="0"/>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numFmt numFmtId="164" formatCode="dd\-mmm\-yyyy"/>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numFmt numFmtId="164" formatCode="dd\-mmm\-yyyy"/>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numFmt numFmtId="164" formatCode="dd\-mmm\-yyyy"/>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numFmt numFmtId="164" formatCode="dd\-mmm\-yyyy"/>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0"/>
        <color theme="1"/>
        <name val="Carlito"/>
        <scheme val="none"/>
      </font>
      <fill>
        <patternFill patternType="solid">
          <fgColor theme="4" tint="0.79998168889431442"/>
          <bgColor theme="4" tint="0.79998168889431442"/>
        </patternFill>
      </fill>
      <alignment horizontal="general" vertical="top" textRotation="0" wrapText="1" indent="0" justifyLastLine="0" shrinkToFit="0" readingOrder="0"/>
    </dxf>
    <dxf>
      <font>
        <b/>
        <i val="0"/>
        <strike val="0"/>
        <condense val="0"/>
        <extend val="0"/>
        <outline val="0"/>
        <shadow val="0"/>
        <u val="none"/>
        <vertAlign val="baseline"/>
        <sz val="10"/>
        <color rgb="FFFFFFFF"/>
        <name val="Carlito"/>
        <scheme val="none"/>
      </font>
      <fill>
        <patternFill patternType="solid">
          <fgColor indexed="64"/>
          <bgColor rgb="FF2F75B5"/>
        </patternFill>
      </fill>
      <alignment horizontal="center" vertical="center" textRotation="0" wrapText="1" indent="0" justifyLastLine="0" shrinkToFit="0" readingOrder="0"/>
    </dxf>
    <dxf>
      <fill>
        <patternFill patternType="solid">
          <bgColor rgb="FFE2F0D9"/>
        </patternFill>
      </fill>
    </dxf>
    <dxf>
      <fill>
        <patternFill patternType="solid">
          <bgColor rgb="FFFFF2CC"/>
        </patternFill>
      </fill>
    </dxf>
    <dxf>
      <font>
        <b/>
      </font>
      <fill>
        <patternFill patternType="solid">
          <bgColor rgb="FFFCE4D6"/>
        </patternFill>
      </fill>
    </dxf>
    <dxf>
      <font>
        <b/>
        <color rgb="FF9C0006"/>
      </font>
      <fill>
        <patternFill patternType="solid">
          <bgColor rgb="FFF4CCCC"/>
        </patternFill>
      </fill>
    </dxf>
    <dxf>
      <fill>
        <patternFill patternType="solid">
          <bgColor rgb="FFE2F0D9"/>
        </patternFill>
      </fill>
    </dxf>
    <dxf>
      <fill>
        <patternFill patternType="solid">
          <bgColor rgb="FFFFF2CC"/>
        </patternFill>
      </fill>
    </dxf>
    <dxf>
      <font>
        <b/>
      </font>
      <fill>
        <patternFill patternType="solid">
          <bgColor rgb="FFFCE4D6"/>
        </patternFill>
      </fill>
    </dxf>
    <dxf>
      <font>
        <b/>
        <color rgb="FF9C0006"/>
      </font>
      <fill>
        <patternFill patternType="solid">
          <bgColor rgb="FFF4CCCC"/>
        </patternFill>
      </fill>
    </dxf>
    <dxf>
      <font>
        <b/>
      </font>
      <fill>
        <patternFill patternType="solid">
          <bgColor rgb="FFE2F0D9"/>
        </patternFill>
      </fill>
    </dxf>
    <dxf>
      <font>
        <b/>
      </font>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pt-BR"/>
              <a:t>Alert Status</a:t>
            </a:r>
          </a:p>
        </c:rich>
      </c:tx>
      <c:overlay val="1"/>
    </c:title>
    <c:autoTitleDeleted val="0"/>
    <c:plotArea>
      <c:layout/>
      <c:barChart>
        <c:barDir val="col"/>
        <c:grouping val="clustered"/>
        <c:varyColors val="0"/>
        <c:ser>
          <c:idx val="0"/>
          <c:order val="0"/>
          <c:tx>
            <c:v>Count</c:v>
          </c:tx>
          <c:invertIfNegative val="1"/>
          <c:cat>
            <c:strRef>
              <c:f>'Read Me &amp; Dashboard'!$L$3:$L$5</c:f>
              <c:strCache>
                <c:ptCount val="3"/>
                <c:pt idx="0">
                  <c:v>Ongoing alert</c:v>
                </c:pt>
                <c:pt idx="1">
                  <c:v>Pending closure</c:v>
                </c:pt>
                <c:pt idx="2">
                  <c:v>Open - RNA pending</c:v>
                </c:pt>
              </c:strCache>
            </c:strRef>
          </c:cat>
          <c:val>
            <c:numRef>
              <c:f>'Read Me &amp; Dashboard'!$M$3:$M$5</c:f>
              <c:numCache>
                <c:formatCode>General</c:formatCode>
                <c:ptCount val="3"/>
                <c:pt idx="0">
                  <c:v>8</c:v>
                </c:pt>
                <c:pt idx="1">
                  <c:v>10</c:v>
                </c:pt>
                <c:pt idx="2">
                  <c:v>0</c:v>
                </c:pt>
              </c:numCache>
            </c:numRef>
          </c:val>
          <c:extLst>
            <c:ext xmlns:c16="http://schemas.microsoft.com/office/drawing/2014/chart" uri="{C3380CC4-5D6E-409C-BE32-E72D297353CC}">
              <c16:uniqueId val="{00000000-FCBC-4FC9-A5CB-1AF413A51C48}"/>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pt-BR"/>
              <a:t>Severity: Alert vs RNA</a:t>
            </a:r>
          </a:p>
        </c:rich>
      </c:tx>
      <c:overlay val="1"/>
    </c:title>
    <c:autoTitleDeleted val="0"/>
    <c:plotArea>
      <c:layout/>
      <c:barChart>
        <c:barDir val="col"/>
        <c:grouping val="clustered"/>
        <c:varyColors val="0"/>
        <c:ser>
          <c:idx val="0"/>
          <c:order val="0"/>
          <c:tx>
            <c:v>Alert</c:v>
          </c:tx>
          <c:invertIfNegative val="1"/>
          <c:cat>
            <c:strRef>
              <c:f>'Read Me &amp; Dashboard'!$L$9:$L$12</c:f>
              <c:strCache>
                <c:ptCount val="4"/>
                <c:pt idx="0">
                  <c:v>Low</c:v>
                </c:pt>
                <c:pt idx="1">
                  <c:v>Moderate</c:v>
                </c:pt>
                <c:pt idx="2">
                  <c:v>High</c:v>
                </c:pt>
                <c:pt idx="3">
                  <c:v>Critical</c:v>
                </c:pt>
              </c:strCache>
            </c:strRef>
          </c:cat>
          <c:val>
            <c:numRef>
              <c:f>'Read Me &amp; Dashboard'!$M$9:$M$12</c:f>
              <c:numCache>
                <c:formatCode>General</c:formatCode>
                <c:ptCount val="4"/>
                <c:pt idx="0">
                  <c:v>0</c:v>
                </c:pt>
                <c:pt idx="1">
                  <c:v>8</c:v>
                </c:pt>
                <c:pt idx="2">
                  <c:v>7</c:v>
                </c:pt>
                <c:pt idx="3">
                  <c:v>3</c:v>
                </c:pt>
              </c:numCache>
            </c:numRef>
          </c:val>
          <c:extLst>
            <c:ext xmlns:c16="http://schemas.microsoft.com/office/drawing/2014/chart" uri="{C3380CC4-5D6E-409C-BE32-E72D297353CC}">
              <c16:uniqueId val="{00000000-B3D5-4D70-B2E2-E788CDA91949}"/>
            </c:ext>
          </c:extLst>
        </c:ser>
        <c:ser>
          <c:idx val="1"/>
          <c:order val="1"/>
          <c:tx>
            <c:v>RNA</c:v>
          </c:tx>
          <c:invertIfNegative val="1"/>
          <c:cat>
            <c:strRef>
              <c:f>'Read Me &amp; Dashboard'!$L$9:$L$12</c:f>
              <c:strCache>
                <c:ptCount val="4"/>
                <c:pt idx="0">
                  <c:v>Low</c:v>
                </c:pt>
                <c:pt idx="1">
                  <c:v>Moderate</c:v>
                </c:pt>
                <c:pt idx="2">
                  <c:v>High</c:v>
                </c:pt>
                <c:pt idx="3">
                  <c:v>Critical</c:v>
                </c:pt>
              </c:strCache>
            </c:strRef>
          </c:cat>
          <c:val>
            <c:numRef>
              <c:f>'Read Me &amp; Dashboard'!$N$9:$N$12</c:f>
              <c:numCache>
                <c:formatCode>General</c:formatCode>
                <c:ptCount val="4"/>
                <c:pt idx="0">
                  <c:v>0</c:v>
                </c:pt>
                <c:pt idx="1">
                  <c:v>2</c:v>
                </c:pt>
                <c:pt idx="2">
                  <c:v>12</c:v>
                </c:pt>
                <c:pt idx="3">
                  <c:v>3</c:v>
                </c:pt>
              </c:numCache>
            </c:numRef>
          </c:val>
          <c:extLst>
            <c:ext xmlns:c16="http://schemas.microsoft.com/office/drawing/2014/chart" uri="{C3380CC4-5D6E-409C-BE32-E72D297353CC}">
              <c16:uniqueId val="{00000001-B3D5-4D70-B2E2-E788CDA9194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0</xdr:rowOff>
    </xdr:from>
    <xdr:to>
      <xdr:col>5</xdr:col>
      <xdr:colOff>0</xdr:colOff>
      <xdr:row>38</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23</xdr:row>
      <xdr:rowOff>0</xdr:rowOff>
    </xdr:from>
    <xdr:to>
      <xdr:col>10</xdr:col>
      <xdr:colOff>0</xdr:colOff>
      <xdr:row>38</xdr:row>
      <xdr:rowOff>0</xdr:rowOff>
    </xdr:to>
    <xdr:graphicFrame macro="">
      <xdr:nvGraphicFramePr>
        <xdr:cNvPr id="3" nam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83BC3E-59C4-4410-80BC-4A74D1ECA155}" name="Table1" displayName="Table1" ref="A1:W19" totalsRowShown="0" headerRowDxfId="95" dataDxfId="94" tableBorderDxfId="93">
  <autoFilter ref="A1:W19" xr:uid="{3283BC3E-59C4-4410-80BC-4A74D1ECA155}"/>
  <tableColumns count="23">
    <tableColumn id="1" xr3:uid="{208B083F-6B58-4CCC-84F8-C202D615E0F3}" name="Alert Name" dataDxfId="92"/>
    <tableColumn id="2" xr3:uid="{34F86F2D-7147-48CA-825D-E3919295DD06}" name="Organisation" dataDxfId="91"/>
    <tableColumn id="3" xr3:uid="{AF8EA6D6-E6C8-4DE0-9395-962D6BEB9A42}" name="Arrival District" dataDxfId="90"/>
    <tableColumn id="4" xr3:uid="{A14F14AE-C70C-416A-974E-00059B0482D6}" name="Alert Shared Date" dataDxfId="89"/>
    <tableColumn id="5" xr3:uid="{D265668C-4343-4AF5-B9F9-6BA643A564C6}" name="Movement Type" dataDxfId="88"/>
    <tableColumn id="6" xr3:uid="{AA4C9263-9308-4F62-A5FE-2A232A60C15C}" name="RNA Done?" dataDxfId="87"/>
    <tableColumn id="7" xr3:uid="{72FF824D-1EA2-4749-9C7E-F061F9FD3D51}" name="Tier 2 Assessment Done?" dataDxfId="86"/>
    <tableColumn id="8" xr3:uid="{EA0216F4-E5D3-48A9-B739-700A1274024A}" name="RNA Date" dataDxfId="85"/>
    <tableColumn id="9" xr3:uid="{1B7F4D40-5A97-4C63-8621-5E853EB93684}" name="Tier 2 Date" dataDxfId="84"/>
    <tableColumn id="10" xr3:uid="{ADC10E0E-7E31-4F8E-BA6D-8785B760EA23}" name="Days from Alert to Today" dataDxfId="83">
      <calculatedColumnFormula>TODAY()-D2</calculatedColumnFormula>
    </tableColumn>
    <tableColumn id="11" xr3:uid="{C76EF8BC-1FF6-4582-B08C-9425FAB75316}" name="Status" dataDxfId="82">
      <calculatedColumnFormula>IF(J2&gt;'Severity Framework'!$B$4,"Pending closure",IF(F2="Yes","Ongoing alert","Open - RNA pending"))</calculatedColumnFormula>
    </tableColumn>
    <tableColumn id="12" xr3:uid="{7A79FC1E-EB54-4BB9-ABC2-2DECB4AA0FBD}" name="Alert Severity" dataDxfId="81"/>
    <tableColumn id="13" xr3:uid="{77968ABD-EC9B-4FB5-8F55-FADC0159E8A0}" name="RNA Severity" dataDxfId="80"/>
    <tableColumn id="14" xr3:uid="{1D2DB596-184E-4662-8F40-DDDF091D43BA}" name="Change" dataDxfId="79">
      <calculatedColumnFormula>IF(OR(L2="",M2=""),"",IF(VLOOKUP(M2,'Severity Framework'!$J$3:$K$6,2,FALSE)=VLOOKUP(L2,'Severity Framework'!$J$3:$K$6,2,FALSE),"No change",IF(VLOOKUP(M2,'Severity Framework'!$J$3:$K$6,2,FALSE)&gt;VLOOKUP(L2,'Severity Framework'!$J$3:$K$6,2,FALSE),"↑"&amp; (VLOOKUP(M2,'Severity Framework'!$J$3:$K$6,2,FALSE)-VLOOKUP(L2,'Severity Framework'!$J$3:$K$6,2,FALSE)) &amp;" level","↓"&amp; ABS(VLOOKUP(M2,'Severity Framework'!$J$3:$K$6,2,FALSE)-VLOOKUP(L2,'Severity Framework'!$J$3:$K$6,2,FALSE)) &amp;" level")))</calculatedColumnFormula>
    </tableColumn>
    <tableColumn id="15" xr3:uid="{678AC719-9C20-44E8-B2FE-CBB976CE6A01}" name="Population Type" dataDxfId="78"/>
    <tableColumn id="16" xr3:uid="{347EF2A4-BCC6-4F32-A5FB-0542BD240D2A}" name="Alert Caseload" dataDxfId="77"/>
    <tableColumn id="17" xr3:uid="{238F7C6A-5E1F-492B-849F-B30A8E1159BD}" name="Latest / RNA Caseload" dataDxfId="76"/>
    <tableColumn id="18" xr3:uid="{AC666780-9B67-4E71-9084-5110CB562198}" name="Linked to Previous Alert?" dataDxfId="75"/>
    <tableColumn id="19" xr3:uid="{3EC4529A-C15B-48C7-B19B-00B298CD56A9}" name="Related Alert(s)" dataDxfId="74"/>
    <tableColumn id="20" xr3:uid="{29AD93A6-B413-4632-8CDC-D8690EFA9641}" name="Alert Source File" dataDxfId="73"/>
    <tableColumn id="21" xr3:uid="{13F9F128-D15F-4816-9C64-0C9EF42F60FC}" name="RNA Source File" dataDxfId="72"/>
    <tableColumn id="22" xr3:uid="{8E429FC3-F241-4FF7-8217-800BEFE198B8}" name="Tier 2 Source File" dataDxfId="71"/>
    <tableColumn id="23" xr3:uid="{0CE41F51-384A-4E5E-8C58-220FAAFC8732}" name="Notes" dataDxfId="7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0693F85-D621-4ED2-97DC-5D61A6889F65}" name="Table2" displayName="Table2" ref="A1:AB19" totalsRowShown="0" headerRowDxfId="65" dataDxfId="64" tableBorderDxfId="63">
  <autoFilter ref="A1:AB19" xr:uid="{20693F85-D621-4ED2-97DC-5D61A6889F65}"/>
  <tableColumns count="28">
    <tableColumn id="1" xr3:uid="{7A0001C6-F3DC-47F2-8CE6-80B4066491B9}" name="Alert Name" dataDxfId="62"/>
    <tableColumn id="2" xr3:uid="{112957DE-7F40-4F83-81AD-92C242E2C275}" name="Organisation" dataDxfId="61"/>
    <tableColumn id="3" xr3:uid="{8613A9AF-4AB9-47B4-85AF-21C4C593C485}" name="Stage Date" dataDxfId="60"/>
    <tableColumn id="4" xr3:uid="{6EAB0F39-BAAC-4EA0-AD59-80E9AA6E3CD7}" name="Arrival District" dataDxfId="59"/>
    <tableColumn id="5" xr3:uid="{D9A752D1-C10B-4652-8213-2A3BEC8A1773}" name="Arrival AP / Locations" dataDxfId="58"/>
    <tableColumn id="6" xr3:uid="{7995857A-C6E7-42F9-BAF1-A28490864C5E}" name="Origin District" dataDxfId="57"/>
    <tableColumn id="7" xr3:uid="{73CB2C39-21A5-4E17-991E-06F825C9985B}" name="Origin AP / Locations" dataDxfId="56"/>
    <tableColumn id="8" xr3:uid="{D1FB47B6-081A-4973-A56E-EDCE8ECE5017}" name="Shock Type" dataDxfId="55"/>
    <tableColumn id="9" xr3:uid="{F09EAD2B-F62C-4591-9FE3-5B8A2F0087D1}" name="Movement Type" dataDxfId="54"/>
    <tableColumn id="10" xr3:uid="{210A7D32-A1CE-444A-914F-B476FA9E356F}" name="Population Type" dataDxfId="53"/>
    <tableColumn id="11" xr3:uid="{7090FDDC-8361-4708-8A46-92C3409539D4}" name="Potential Link to Previous Alert?" dataDxfId="52"/>
    <tableColumn id="12" xr3:uid="{E023EB02-51EB-43F1-B306-9BE63E24CA88}" name="Related Alert(s)" dataDxfId="51"/>
    <tableColumn id="13" xr3:uid="{AEFA0CCE-E413-4576-98D8-112B425422F3}" name="Relationship" dataDxfId="50"/>
    <tableColumn id="14" xr3:uid="{F96EF426-3385-4CD0-B5BD-40740A57D91A}" name="Caseload Estimate" dataDxfId="49"/>
    <tableColumn id="15" xr3:uid="{A86A3A2F-C3B9-4E6F-B065-C898EE4C8134}" name="Vulnerable Populations Reported" dataDxfId="48"/>
    <tableColumn id="16" xr3:uid="{26A894B1-1810-47B6-B7CC-83B6B565FE8F}" name="Needs / Acute Conditions Flagged" dataDxfId="47"/>
    <tableColumn id="17" xr3:uid="{56900FD7-ADF4-4D5E-A93C-FF729C526AFC}" name="Host Already Hosting IDPs?" dataDxfId="46"/>
    <tableColumn id="18" xr3:uid="{9D649376-E612-461E-8DF1-6C00651FB067}" name="Existing Tensions?" dataDxfId="45"/>
    <tableColumn id="19" xr3:uid="{0754E482-376A-4CF9-A7EB-1E81E93FB120}" name="Other Protection Threats at Arrival / Current Area" dataDxfId="44"/>
    <tableColumn id="20" xr3:uid="{FD7D1DA4-D1FE-488D-9839-9E24F0A19FA1}" name="Accessibility" dataDxfId="43"/>
    <tableColumn id="21" xr3:uid="{6A19D74C-2167-4AA2-BE4F-A979FAC2E094}" name="Humanitarian Conditions Domain" dataDxfId="42"/>
    <tableColumn id="22" xr3:uid="{D5A45F7F-5C15-4BE5-B02B-B279319ED068}" name="Protection / Ongoing Threat Domain" dataDxfId="41"/>
    <tableColumn id="23" xr3:uid="{A9539535-2D97-4713-857B-FEF7D8415189}" name="≥900 HH Override?" dataDxfId="40"/>
    <tableColumn id="24" xr3:uid="{CE374693-11EB-4CF5-BA9D-348C494F3490}" name="Completeness / Geographic Coverage" dataDxfId="39"/>
    <tableColumn id="25" xr3:uid="{8B496453-81CD-4FF0-8035-9A16BAF20829}" name="Confidence" dataDxfId="38"/>
    <tableColumn id="26" xr3:uid="{699326CA-38F0-4455-923E-DDA5DD56C25C}" name="Severity" dataDxfId="37"/>
    <tableColumn id="27" xr3:uid="{50722816-0740-4295-85ED-C73C7C081390}" name="Short Rationale" dataDxfId="36"/>
    <tableColumn id="28" xr3:uid="{B2992050-4B1B-42BC-A7DB-494EEEE0D40A}" name="Source File" dataDxfId="35"/>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D132BC-7B29-44AC-9ECD-B2DCAF7A7851}" name="Table3" displayName="Table3" ref="A1:AB16" totalsRowShown="0" headerRowDxfId="30" dataDxfId="29" tableBorderDxfId="28">
  <autoFilter ref="A1:AB16" xr:uid="{11D132BC-7B29-44AC-9ECD-B2DCAF7A7851}"/>
  <tableColumns count="28">
    <tableColumn id="1" xr3:uid="{ABB3605F-ECFF-4937-A07B-3D03EB0C1F24}" name="Alert Name" dataDxfId="27"/>
    <tableColumn id="2" xr3:uid="{83F219BE-13E3-4A46-91F9-C5D1CD97966C}" name="Organisation" dataDxfId="26"/>
    <tableColumn id="3" xr3:uid="{0B983D98-7883-4D3B-B555-2083E59BCC55}" name="Stage Date" dataDxfId="25"/>
    <tableColumn id="4" xr3:uid="{3A85F8F8-01EA-4C06-A82E-7713F7F73138}" name="Arrival District" dataDxfId="24"/>
    <tableColumn id="5" xr3:uid="{70E8A7AB-0C0E-4FE4-9468-95F2C24D54A1}" name="Arrival AP / Locations" dataDxfId="23"/>
    <tableColumn id="6" xr3:uid="{D204D807-3076-43B9-949F-DBEC5E2E988D}" name="Origin District" dataDxfId="22"/>
    <tableColumn id="7" xr3:uid="{6876ABC5-ADD8-4B81-BE1A-2AD9670A84B3}" name="Origin AP / Locations" dataDxfId="21"/>
    <tableColumn id="8" xr3:uid="{0E95A6B0-631B-4C71-9F14-583D20DC254C}" name="Shock Type" dataDxfId="20"/>
    <tableColumn id="9" xr3:uid="{506532EA-F8F6-4420-81B3-720B93062383}" name="Movement Type" dataDxfId="19"/>
    <tableColumn id="10" xr3:uid="{596D27B8-B449-4DCC-AF93-3A9F2CB08B9F}" name="Population Type" dataDxfId="18"/>
    <tableColumn id="11" xr3:uid="{20F57C8E-8483-432D-A1EF-656E64C8FDD3}" name="Potential Link to Previous Alert?" dataDxfId="17"/>
    <tableColumn id="12" xr3:uid="{C6CBD302-091E-4C9D-8300-07725B5A00A4}" name="Related Alert(s)" dataDxfId="16"/>
    <tableColumn id="13" xr3:uid="{8E167834-4F5D-4177-B8C2-B6F1A02E7B0A}" name="Relationship" dataDxfId="15"/>
    <tableColumn id="14" xr3:uid="{3AFA4A0A-A64F-4E8A-A97F-D38FBB4E27F5}" name="Caseload Estimate" dataDxfId="14"/>
    <tableColumn id="15" xr3:uid="{C8587B8E-25F5-4888-A410-EA926884F010}" name="Vulnerable Populations Reported" dataDxfId="13"/>
    <tableColumn id="16" xr3:uid="{C5EBAA69-35FA-4F9E-A18E-71E1E4CC6B7C}" name="Needs / Acute Conditions Flagged" dataDxfId="12"/>
    <tableColumn id="17" xr3:uid="{6E175E3A-7AF7-4644-A624-CEEF77E1AF3C}" name="Host Already Hosting IDPs?" dataDxfId="11"/>
    <tableColumn id="18" xr3:uid="{4C01A67C-EDE4-48C3-863F-B9AC2E2ADA13}" name="Existing Tensions?" dataDxfId="10"/>
    <tableColumn id="19" xr3:uid="{546570B1-3057-478A-A019-31CCF8641511}" name="Other Protection Threats at Arrival / Current Area" dataDxfId="9"/>
    <tableColumn id="20" xr3:uid="{2329B308-B9BC-4FF7-B821-F2776B75521C}" name="Accessibility" dataDxfId="8"/>
    <tableColumn id="21" xr3:uid="{33D76CAD-EE64-422B-B556-CB4998F35B3A}" name="Humanitarian Conditions Domain" dataDxfId="7"/>
    <tableColumn id="22" xr3:uid="{C795A81F-457D-40D8-91D4-249E470C43C0}" name="Protection / Ongoing Threat Domain" dataDxfId="6"/>
    <tableColumn id="23" xr3:uid="{45FE599D-3914-4387-8813-710FF1F88722}" name="≥900 HH Override?" dataDxfId="5"/>
    <tableColumn id="24" xr3:uid="{E97BE9DE-746A-4BA7-9B25-FEF206C4E605}" name="Completeness / Geographic Coverage" dataDxfId="4"/>
    <tableColumn id="25" xr3:uid="{337A26DB-9EA8-4F69-A518-42EDF97B2E75}" name="Confidence" dataDxfId="3"/>
    <tableColumn id="26" xr3:uid="{BDD12D9B-0A44-4529-9867-8D25A8B587EB}" name="Severity" dataDxfId="2"/>
    <tableColumn id="27" xr3:uid="{AD747629-CF13-4611-B0A8-A5CAA727DD95}" name="Short Rationale" dataDxfId="1"/>
    <tableColumn id="28" xr3:uid="{75DB47A0-536F-47E8-9046-2D0754C36760}" name="Source File" dataDxfId="0"/>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
  <sheetViews>
    <sheetView topLeftCell="A29" workbookViewId="0"/>
  </sheetViews>
  <sheetFormatPr defaultRowHeight="14.1"/>
  <cols>
    <col min="1" max="1" width="14" customWidth="1"/>
    <col min="2" max="2" width="22" customWidth="1"/>
    <col min="3" max="3" width="14" customWidth="1"/>
    <col min="4" max="4" width="22" customWidth="1"/>
    <col min="5" max="5" width="14" customWidth="1"/>
    <col min="6" max="6" width="22" customWidth="1"/>
    <col min="7" max="7" width="14" customWidth="1"/>
    <col min="8" max="8" width="22" customWidth="1"/>
    <col min="9" max="9" width="14" customWidth="1"/>
    <col min="10" max="10" width="22" customWidth="1"/>
    <col min="12" max="12" width="18" customWidth="1"/>
    <col min="13" max="14" width="12" customWidth="1"/>
  </cols>
  <sheetData>
    <row r="1" spans="1:14" ht="20.100000000000001" customHeight="1">
      <c r="A1" s="24" t="s">
        <v>0</v>
      </c>
      <c r="B1" s="24"/>
      <c r="C1" s="24"/>
      <c r="D1" s="24"/>
      <c r="E1" s="24"/>
      <c r="F1" s="24"/>
      <c r="G1" s="24"/>
      <c r="H1" s="24"/>
      <c r="I1" s="24"/>
      <c r="J1" s="24"/>
    </row>
    <row r="2" spans="1:14">
      <c r="L2" s="1" t="s">
        <v>1</v>
      </c>
      <c r="M2" s="1" t="s">
        <v>2</v>
      </c>
    </row>
    <row r="3" spans="1:14">
      <c r="A3" s="25" t="s">
        <v>3</v>
      </c>
      <c r="B3" s="25"/>
      <c r="C3" s="25"/>
      <c r="D3" s="25"/>
      <c r="E3" s="25"/>
      <c r="F3" s="25"/>
      <c r="G3" s="25"/>
      <c r="H3" s="25"/>
      <c r="I3" s="25"/>
      <c r="J3" s="25"/>
      <c r="L3" s="3" t="s">
        <v>4</v>
      </c>
      <c r="M3" s="3">
        <f ca="1">COUNTIF('Alert Registry'!K2:K100,L3)</f>
        <v>8</v>
      </c>
    </row>
    <row r="4" spans="1:14">
      <c r="A4" s="25"/>
      <c r="B4" s="25"/>
      <c r="C4" s="25"/>
      <c r="D4" s="25"/>
      <c r="E4" s="25"/>
      <c r="F4" s="25"/>
      <c r="G4" s="25"/>
      <c r="H4" s="25"/>
      <c r="I4" s="25"/>
      <c r="J4" s="25"/>
      <c r="L4" s="3" t="s">
        <v>5</v>
      </c>
      <c r="M4" s="3">
        <f ca="1">COUNTIF('Alert Registry'!K2:K100,L4)</f>
        <v>10</v>
      </c>
    </row>
    <row r="5" spans="1:14">
      <c r="H5" s="29" t="s">
        <v>6</v>
      </c>
      <c r="I5" s="29"/>
      <c r="J5" s="10">
        <f ca="1">TODAY()</f>
        <v>46311</v>
      </c>
      <c r="L5" s="3" t="s">
        <v>7</v>
      </c>
      <c r="M5" s="3">
        <f ca="1">COUNTIF('Alert Registry'!K2:K100,L5)</f>
        <v>0</v>
      </c>
    </row>
    <row r="6" spans="1:14">
      <c r="A6" s="26" t="s">
        <v>8</v>
      </c>
      <c r="B6" s="26"/>
      <c r="C6" s="26"/>
      <c r="D6" s="26"/>
      <c r="E6" s="26"/>
      <c r="F6" s="26"/>
      <c r="G6" s="26"/>
      <c r="H6" s="26"/>
      <c r="I6" s="26"/>
      <c r="J6" s="26"/>
    </row>
    <row r="8" spans="1:14">
      <c r="A8" s="27" t="s">
        <v>9</v>
      </c>
      <c r="B8" s="27"/>
      <c r="C8" s="27" t="s">
        <v>10</v>
      </c>
      <c r="D8" s="27"/>
      <c r="E8" s="27" t="s">
        <v>11</v>
      </c>
      <c r="F8" s="27"/>
      <c r="G8" s="27" t="s">
        <v>12</v>
      </c>
      <c r="H8" s="27"/>
      <c r="I8" s="27" t="s">
        <v>5</v>
      </c>
      <c r="J8" s="27"/>
      <c r="L8" s="1" t="s">
        <v>13</v>
      </c>
      <c r="M8" s="1" t="s">
        <v>14</v>
      </c>
      <c r="N8" s="1" t="s">
        <v>15</v>
      </c>
    </row>
    <row r="9" spans="1:14" ht="23.1">
      <c r="A9" s="28">
        <f>COUNTA('Alert Registry'!A2:A100)</f>
        <v>18</v>
      </c>
      <c r="B9" s="28"/>
      <c r="C9" s="28">
        <f>COUNTIF('Alert Registry'!F2:F100,"Yes")</f>
        <v>16</v>
      </c>
      <c r="D9" s="28"/>
      <c r="E9" s="28">
        <f>COUNTIF('Alert Registry'!G2:G100,"Yes")</f>
        <v>1</v>
      </c>
      <c r="F9" s="28"/>
      <c r="G9" s="28">
        <f ca="1">COUNTIF('Alert Registry'!K2:K100,"Ongoing alert")</f>
        <v>8</v>
      </c>
      <c r="H9" s="28"/>
      <c r="I9" s="28">
        <f ca="1">COUNTIF('Alert Registry'!K2:K100,"Pending closure")</f>
        <v>10</v>
      </c>
      <c r="J9" s="28"/>
      <c r="L9" s="3" t="s">
        <v>16</v>
      </c>
      <c r="M9" s="3">
        <f>COUNTIF('Alert Registry'!L2:L100,L9)</f>
        <v>0</v>
      </c>
      <c r="N9" s="3">
        <f>COUNTIF('Alert Registry'!M2:M100,L9)</f>
        <v>0</v>
      </c>
    </row>
    <row r="10" spans="1:14">
      <c r="L10" s="3" t="s">
        <v>17</v>
      </c>
      <c r="M10" s="3">
        <f>COUNTIF('Alert Registry'!L2:L100,L10)</f>
        <v>8</v>
      </c>
      <c r="N10" s="3">
        <f>COUNTIF('Alert Registry'!M2:M100,L10)</f>
        <v>2</v>
      </c>
    </row>
    <row r="11" spans="1:14">
      <c r="L11" s="3" t="s">
        <v>18</v>
      </c>
      <c r="M11" s="3">
        <f>COUNTIF('Alert Registry'!L2:L100,L11)</f>
        <v>7</v>
      </c>
      <c r="N11" s="3">
        <f>COUNTIF('Alert Registry'!M2:M100,L11)</f>
        <v>12</v>
      </c>
    </row>
    <row r="12" spans="1:14">
      <c r="A12" s="27" t="s">
        <v>19</v>
      </c>
      <c r="B12" s="27"/>
      <c r="C12" s="27" t="s">
        <v>20</v>
      </c>
      <c r="D12" s="27"/>
      <c r="E12" s="27" t="s">
        <v>21</v>
      </c>
      <c r="F12" s="27"/>
      <c r="G12" s="27" t="s">
        <v>22</v>
      </c>
      <c r="H12" s="27"/>
      <c r="I12" s="27" t="s">
        <v>23</v>
      </c>
      <c r="J12" s="27"/>
      <c r="L12" s="3" t="s">
        <v>24</v>
      </c>
      <c r="M12" s="3">
        <f>COUNTIF('Alert Registry'!L2:L100,L12)</f>
        <v>3</v>
      </c>
      <c r="N12" s="3">
        <f>COUNTIF('Alert Registry'!M2:M100,L12)</f>
        <v>3</v>
      </c>
    </row>
    <row r="13" spans="1:14" ht="23.1">
      <c r="A13" s="28">
        <f>COUNTIF('Alert Registry'!F2:F100,"No")</f>
        <v>2</v>
      </c>
      <c r="B13" s="28"/>
      <c r="C13" s="28">
        <f>COUNTIF('Alert Registry'!L2:L100,"Critical")</f>
        <v>3</v>
      </c>
      <c r="D13" s="28"/>
      <c r="E13" s="28">
        <f>COUNTIF('Alert Registry'!M2:M100,"Critical")</f>
        <v>3</v>
      </c>
      <c r="F13" s="28"/>
      <c r="G13" s="30">
        <f>COUNTA('Alert Registry'!N2:N19)-COUNTIF('Alert Registry'!N2:N19,"No change")</f>
        <v>8</v>
      </c>
      <c r="H13" s="28"/>
      <c r="I13" s="28">
        <f>COUNTIF('Alert Registry'!N2:N100,"No change")</f>
        <v>10</v>
      </c>
      <c r="J13" s="28"/>
    </row>
    <row r="16" spans="1:14">
      <c r="A16" s="26" t="s">
        <v>25</v>
      </c>
      <c r="B16" s="26"/>
      <c r="C16" s="26"/>
      <c r="D16" s="26"/>
      <c r="E16" s="26"/>
      <c r="F16" s="26"/>
      <c r="G16" s="26"/>
      <c r="H16" s="26"/>
      <c r="I16" s="26"/>
      <c r="J16" s="26"/>
    </row>
    <row r="17" spans="1:10" ht="22.7" customHeight="1">
      <c r="A17" s="8" t="s">
        <v>26</v>
      </c>
      <c r="B17" s="9" t="s">
        <v>27</v>
      </c>
      <c r="C17" s="31" t="s">
        <v>28</v>
      </c>
      <c r="D17" s="33"/>
      <c r="E17" s="33"/>
      <c r="F17" s="33"/>
      <c r="G17" s="33"/>
      <c r="H17" s="33"/>
      <c r="I17" s="33"/>
      <c r="J17" s="33"/>
    </row>
    <row r="18" spans="1:10" ht="22.7" customHeight="1">
      <c r="A18" s="8" t="s">
        <v>29</v>
      </c>
      <c r="B18" s="9" t="s">
        <v>30</v>
      </c>
      <c r="C18" s="31" t="s">
        <v>31</v>
      </c>
      <c r="D18" s="33"/>
      <c r="E18" s="33"/>
      <c r="F18" s="33"/>
      <c r="G18" s="33"/>
      <c r="H18" s="33"/>
      <c r="I18" s="33"/>
      <c r="J18" s="33"/>
    </row>
    <row r="19" spans="1:10" ht="22.7" customHeight="1">
      <c r="A19" s="8" t="s">
        <v>32</v>
      </c>
      <c r="B19" s="9" t="s">
        <v>33</v>
      </c>
      <c r="C19" s="31" t="s">
        <v>34</v>
      </c>
      <c r="D19" s="33"/>
      <c r="E19" s="33"/>
      <c r="F19" s="33"/>
      <c r="G19" s="33"/>
      <c r="H19" s="33"/>
      <c r="I19" s="33"/>
      <c r="J19" s="33"/>
    </row>
    <row r="20" spans="1:10" ht="22.7" customHeight="1">
      <c r="A20" s="8" t="s">
        <v>35</v>
      </c>
      <c r="B20" s="9" t="s">
        <v>36</v>
      </c>
      <c r="C20" s="31" t="s">
        <v>37</v>
      </c>
      <c r="D20" s="33"/>
      <c r="E20" s="33"/>
      <c r="F20" s="33"/>
      <c r="G20" s="33"/>
      <c r="H20" s="33"/>
      <c r="I20" s="33"/>
      <c r="J20" s="33"/>
    </row>
    <row r="21" spans="1:10" ht="22.7" customHeight="1">
      <c r="A21" s="8" t="s">
        <v>38</v>
      </c>
      <c r="B21" s="9" t="s">
        <v>39</v>
      </c>
      <c r="C21" s="31" t="s">
        <v>40</v>
      </c>
      <c r="D21" s="33"/>
      <c r="E21" s="33"/>
      <c r="F21" s="33"/>
      <c r="G21" s="33"/>
      <c r="H21" s="33"/>
      <c r="I21" s="33"/>
      <c r="J21" s="33"/>
    </row>
    <row r="40" spans="1:10">
      <c r="A40" s="26" t="s">
        <v>41</v>
      </c>
      <c r="B40" s="26"/>
      <c r="C40" s="26"/>
      <c r="D40" s="26"/>
      <c r="E40" s="26"/>
      <c r="F40" s="26"/>
      <c r="G40" s="26"/>
      <c r="H40" s="26"/>
      <c r="I40" s="26"/>
      <c r="J40" s="26"/>
    </row>
    <row r="41" spans="1:10" ht="18.600000000000001" customHeight="1">
      <c r="A41" s="31" t="s">
        <v>42</v>
      </c>
      <c r="B41" s="31"/>
      <c r="C41" s="31"/>
      <c r="D41" s="31"/>
      <c r="E41" s="31"/>
      <c r="F41" s="31"/>
      <c r="G41" s="31"/>
      <c r="H41" s="31"/>
      <c r="I41" s="31"/>
      <c r="J41" s="31"/>
    </row>
    <row r="42" spans="1:10" ht="18.600000000000001" customHeight="1">
      <c r="A42" s="31" t="s">
        <v>43</v>
      </c>
      <c r="B42" s="31"/>
      <c r="C42" s="31"/>
      <c r="D42" s="31"/>
      <c r="E42" s="31"/>
      <c r="F42" s="31"/>
      <c r="G42" s="31"/>
      <c r="H42" s="31"/>
      <c r="I42" s="31"/>
      <c r="J42" s="31"/>
    </row>
    <row r="43" spans="1:10" ht="18.600000000000001" customHeight="1">
      <c r="A43" s="31" t="s">
        <v>44</v>
      </c>
      <c r="B43" s="31"/>
      <c r="C43" s="31"/>
      <c r="D43" s="31"/>
      <c r="E43" s="31"/>
      <c r="F43" s="31"/>
      <c r="G43" s="31"/>
      <c r="H43" s="31"/>
      <c r="I43" s="31"/>
      <c r="J43" s="31"/>
    </row>
    <row r="44" spans="1:10" ht="18.600000000000001" customHeight="1">
      <c r="A44" s="31" t="s">
        <v>45</v>
      </c>
      <c r="B44" s="31"/>
      <c r="C44" s="31"/>
      <c r="D44" s="31"/>
      <c r="E44" s="31"/>
      <c r="F44" s="31"/>
      <c r="G44" s="31"/>
      <c r="H44" s="31"/>
      <c r="I44" s="31"/>
      <c r="J44" s="31"/>
    </row>
    <row r="45" spans="1:10" ht="18.600000000000001" customHeight="1">
      <c r="A45" s="31" t="s">
        <v>46</v>
      </c>
      <c r="B45" s="31"/>
      <c r="C45" s="31"/>
      <c r="D45" s="31"/>
      <c r="E45" s="31"/>
      <c r="F45" s="31"/>
      <c r="G45" s="31"/>
      <c r="H45" s="31"/>
      <c r="I45" s="31"/>
      <c r="J45" s="31"/>
    </row>
  </sheetData>
  <mergeCells count="36">
    <mergeCell ref="A41:J41"/>
    <mergeCell ref="A42:J42"/>
    <mergeCell ref="A43:J43"/>
    <mergeCell ref="A44:J44"/>
    <mergeCell ref="A45:J45"/>
    <mergeCell ref="A40:J40"/>
    <mergeCell ref="C17:J17"/>
    <mergeCell ref="C18:J18"/>
    <mergeCell ref="C19:J19"/>
    <mergeCell ref="C20:J20"/>
    <mergeCell ref="C21:J21"/>
    <mergeCell ref="G12:H12"/>
    <mergeCell ref="G13:H13"/>
    <mergeCell ref="I12:J12"/>
    <mergeCell ref="I13:J13"/>
    <mergeCell ref="A16:J16"/>
    <mergeCell ref="A12:B12"/>
    <mergeCell ref="A13:B13"/>
    <mergeCell ref="C12:D12"/>
    <mergeCell ref="C13:D13"/>
    <mergeCell ref="E12:F12"/>
    <mergeCell ref="E13:F13"/>
    <mergeCell ref="A1:J1"/>
    <mergeCell ref="A3:J4"/>
    <mergeCell ref="A6:J6"/>
    <mergeCell ref="A8:B8"/>
    <mergeCell ref="A9:B9"/>
    <mergeCell ref="C8:D8"/>
    <mergeCell ref="C9:D9"/>
    <mergeCell ref="E8:F8"/>
    <mergeCell ref="E9:F9"/>
    <mergeCell ref="G8:H8"/>
    <mergeCell ref="G9:H9"/>
    <mergeCell ref="I8:J8"/>
    <mergeCell ref="I9:J9"/>
    <mergeCell ref="H5:I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9"/>
  <sheetViews>
    <sheetView topLeftCell="R14" workbookViewId="0">
      <selection activeCell="A11" sqref="A11"/>
    </sheetView>
  </sheetViews>
  <sheetFormatPr defaultRowHeight="14.1"/>
  <cols>
    <col min="1" max="1" width="36" customWidth="1"/>
    <col min="2" max="2" width="13" customWidth="1"/>
    <col min="3" max="3" width="20" customWidth="1"/>
    <col min="4" max="4" width="16.75" customWidth="1"/>
    <col min="5" max="5" width="30" customWidth="1"/>
    <col min="6" max="6" width="11.625" customWidth="1"/>
    <col min="7" max="7" width="22.375" customWidth="1"/>
    <col min="8" max="8" width="18" customWidth="1"/>
    <col min="9" max="9" width="14" customWidth="1"/>
    <col min="10" max="10" width="22.125" customWidth="1"/>
    <col min="11" max="11" width="18" customWidth="1"/>
    <col min="12" max="13" width="14" customWidth="1"/>
    <col min="14" max="14" width="12" customWidth="1"/>
    <col min="15" max="15" width="15.625" customWidth="1"/>
    <col min="16" max="16" width="28" customWidth="1"/>
    <col min="17" max="17" width="32" customWidth="1"/>
    <col min="18" max="18" width="22.625" customWidth="1"/>
    <col min="19" max="19" width="38" customWidth="1"/>
    <col min="20" max="22" width="44" customWidth="1"/>
    <col min="23" max="23" width="52" customWidth="1"/>
  </cols>
  <sheetData>
    <row r="1" spans="1:23" ht="27.95" customHeight="1">
      <c r="A1" s="2" t="s">
        <v>47</v>
      </c>
      <c r="B1" s="2" t="s">
        <v>48</v>
      </c>
      <c r="C1" s="2" t="s">
        <v>49</v>
      </c>
      <c r="D1" s="2" t="s">
        <v>50</v>
      </c>
      <c r="E1" s="2" t="s">
        <v>51</v>
      </c>
      <c r="F1" s="2" t="s">
        <v>52</v>
      </c>
      <c r="G1" s="2" t="s">
        <v>53</v>
      </c>
      <c r="H1" s="2" t="s">
        <v>54</v>
      </c>
      <c r="I1" s="2" t="s">
        <v>55</v>
      </c>
      <c r="J1" s="2" t="s">
        <v>56</v>
      </c>
      <c r="K1" s="2" t="s">
        <v>1</v>
      </c>
      <c r="L1" s="2" t="s">
        <v>57</v>
      </c>
      <c r="M1" s="2" t="s">
        <v>58</v>
      </c>
      <c r="N1" s="2" t="s">
        <v>59</v>
      </c>
      <c r="O1" s="2" t="s">
        <v>60</v>
      </c>
      <c r="P1" s="2" t="s">
        <v>61</v>
      </c>
      <c r="Q1" s="2" t="s">
        <v>62</v>
      </c>
      <c r="R1" s="2" t="s">
        <v>63</v>
      </c>
      <c r="S1" s="2" t="s">
        <v>64</v>
      </c>
      <c r="T1" s="2" t="s">
        <v>65</v>
      </c>
      <c r="U1" s="2" t="s">
        <v>66</v>
      </c>
      <c r="V1" s="2" t="s">
        <v>67</v>
      </c>
      <c r="W1" s="2" t="s">
        <v>68</v>
      </c>
    </row>
    <row r="2" spans="1:23" ht="24.95">
      <c r="A2" s="11" t="s">
        <v>69</v>
      </c>
      <c r="B2" s="11" t="s">
        <v>70</v>
      </c>
      <c r="C2" s="11" t="s">
        <v>71</v>
      </c>
      <c r="D2" s="12">
        <v>46130</v>
      </c>
      <c r="E2" s="11" t="s">
        <v>72</v>
      </c>
      <c r="F2" s="11" t="s">
        <v>73</v>
      </c>
      <c r="G2" s="12" t="s">
        <v>74</v>
      </c>
      <c r="H2" s="12">
        <v>46162</v>
      </c>
      <c r="I2" s="12"/>
      <c r="J2" s="13">
        <f t="shared" ref="J2:J16" ca="1" si="0">TODAY()-D2</f>
        <v>181</v>
      </c>
      <c r="K2" s="11" t="str">
        <f ca="1">IF(J2&gt;'Severity Framework'!$B$4,"Pending closure",IF(F2="Yes","Ongoing alert","Open - RNA pending"))</f>
        <v>Pending closure</v>
      </c>
      <c r="L2" s="11" t="s">
        <v>17</v>
      </c>
      <c r="M2" s="11" t="s">
        <v>18</v>
      </c>
      <c r="N2" s="11" t="str">
        <f>IF(OR(L2="",M2=""),"",IF(VLOOKUP(M2,'Severity Framework'!$J$3:$K$6,2,FALSE)=VLOOKUP(L2,'Severity Framework'!$J$3:$K$6,2,FALSE),"No change",IF(VLOOKUP(M2,'Severity Framework'!$J$3:$K$6,2,FALSE)&gt;VLOOKUP(L2,'Severity Framework'!$J$3:$K$6,2,FALSE),"↑"&amp; (VLOOKUP(M2,'Severity Framework'!$J$3:$K$6,2,FALSE)-VLOOKUP(L2,'Severity Framework'!$J$3:$K$6,2,FALSE)) &amp;" level","↓"&amp; ABS(VLOOKUP(M2,'Severity Framework'!$J$3:$K$6,2,FALSE)-VLOOKUP(L2,'Severity Framework'!$J$3:$K$6,2,FALSE)) &amp;" level")))</f>
        <v>↑1 level</v>
      </c>
      <c r="O2" s="11" t="s">
        <v>75</v>
      </c>
      <c r="P2" s="11" t="s">
        <v>76</v>
      </c>
      <c r="Q2" s="11" t="s">
        <v>77</v>
      </c>
      <c r="R2" s="11" t="s">
        <v>74</v>
      </c>
      <c r="S2" s="11"/>
      <c r="T2" s="11" t="s">
        <v>78</v>
      </c>
      <c r="U2" s="11" t="s">
        <v>79</v>
      </c>
      <c r="V2" s="11"/>
      <c r="W2" s="11"/>
    </row>
    <row r="3" spans="1:23">
      <c r="A3" s="14" t="s">
        <v>80</v>
      </c>
      <c r="B3" s="14" t="s">
        <v>81</v>
      </c>
      <c r="C3" s="14" t="s">
        <v>82</v>
      </c>
      <c r="D3" s="15">
        <v>46134</v>
      </c>
      <c r="E3" s="14" t="s">
        <v>83</v>
      </c>
      <c r="F3" s="14" t="s">
        <v>73</v>
      </c>
      <c r="G3" s="15" t="s">
        <v>74</v>
      </c>
      <c r="H3" s="15">
        <v>46160</v>
      </c>
      <c r="I3" s="15"/>
      <c r="J3" s="16">
        <f t="shared" ca="1" si="0"/>
        <v>177</v>
      </c>
      <c r="K3" s="14" t="str">
        <f ca="1">IF(J3&gt;'Severity Framework'!$B$4,"Pending closure",IF(F3="Yes","Ongoing alert","Open - RNA pending"))</f>
        <v>Pending closure</v>
      </c>
      <c r="L3" s="14" t="s">
        <v>17</v>
      </c>
      <c r="M3" s="14" t="s">
        <v>18</v>
      </c>
      <c r="N3" s="14" t="str">
        <f>IF(OR(L3="",M3=""),"",IF(VLOOKUP(M3,'Severity Framework'!$J$3:$K$6,2,FALSE)=VLOOKUP(L3,'Severity Framework'!$J$3:$K$6,2,FALSE),"No change",IF(VLOOKUP(M3,'Severity Framework'!$J$3:$K$6,2,FALSE)&gt;VLOOKUP(L3,'Severity Framework'!$J$3:$K$6,2,FALSE),"↑"&amp; (VLOOKUP(M3,'Severity Framework'!$J$3:$K$6,2,FALSE)-VLOOKUP(L3,'Severity Framework'!$J$3:$K$6,2,FALSE)) &amp;" level","↓"&amp; ABS(VLOOKUP(M3,'Severity Framework'!$J$3:$K$6,2,FALSE)-VLOOKUP(L3,'Severity Framework'!$J$3:$K$6,2,FALSE)) &amp;" level")))</f>
        <v>↑1 level</v>
      </c>
      <c r="O3" s="14" t="s">
        <v>75</v>
      </c>
      <c r="P3" s="14" t="s">
        <v>84</v>
      </c>
      <c r="Q3" s="14" t="s">
        <v>85</v>
      </c>
      <c r="R3" s="14" t="s">
        <v>74</v>
      </c>
      <c r="S3" s="14"/>
      <c r="T3" s="14" t="s">
        <v>86</v>
      </c>
      <c r="U3" s="14" t="s">
        <v>87</v>
      </c>
      <c r="V3" s="14"/>
      <c r="W3" s="14"/>
    </row>
    <row r="4" spans="1:23" ht="24.95">
      <c r="A4" s="11" t="s">
        <v>88</v>
      </c>
      <c r="B4" s="11" t="s">
        <v>89</v>
      </c>
      <c r="C4" s="11" t="s">
        <v>90</v>
      </c>
      <c r="D4" s="12">
        <v>46140</v>
      </c>
      <c r="E4" s="11" t="s">
        <v>91</v>
      </c>
      <c r="F4" s="11" t="s">
        <v>74</v>
      </c>
      <c r="G4" s="12" t="s">
        <v>74</v>
      </c>
      <c r="H4" s="12"/>
      <c r="I4" s="12"/>
      <c r="J4" s="13">
        <f t="shared" ca="1" si="0"/>
        <v>171</v>
      </c>
      <c r="K4" s="11" t="str">
        <f ca="1">IF(J4&gt;'Severity Framework'!$B$4,"Pending closure",IF(F4="Yes","Ongoing alert","Open - RNA pending"))</f>
        <v>Pending closure</v>
      </c>
      <c r="L4" s="11" t="s">
        <v>17</v>
      </c>
      <c r="M4" s="11" t="s">
        <v>17</v>
      </c>
      <c r="N4" s="11" t="str">
        <f>IF(OR(L4="",M4=""),"",IF(VLOOKUP(M4,'Severity Framework'!$J$3:$K$6,2,FALSE)=VLOOKUP(L4,'Severity Framework'!$J$3:$K$6,2,FALSE),"No change",IF(VLOOKUP(M4,'Severity Framework'!$J$3:$K$6,2,FALSE)&gt;VLOOKUP(L4,'Severity Framework'!$J$3:$K$6,2,FALSE),"↑"&amp; (VLOOKUP(M4,'Severity Framework'!$J$3:$K$6,2,FALSE)-VLOOKUP(L4,'Severity Framework'!$J$3:$K$6,2,FALSE)) &amp;" level","↓"&amp; ABS(VLOOKUP(M4,'Severity Framework'!$J$3:$K$6,2,FALSE)-VLOOKUP(L4,'Severity Framework'!$J$3:$K$6,2,FALSE)) &amp;" level")))</f>
        <v>No change</v>
      </c>
      <c r="O4" s="11" t="s">
        <v>75</v>
      </c>
      <c r="P4" s="11" t="s">
        <v>92</v>
      </c>
      <c r="Q4" s="11" t="s">
        <v>92</v>
      </c>
      <c r="R4" s="11" t="s">
        <v>93</v>
      </c>
      <c r="S4" s="11" t="s">
        <v>80</v>
      </c>
      <c r="T4" s="11" t="s">
        <v>94</v>
      </c>
      <c r="U4" s="11"/>
      <c r="V4" s="11"/>
      <c r="W4" s="11" t="s">
        <v>95</v>
      </c>
    </row>
    <row r="5" spans="1:23">
      <c r="A5" s="14" t="s">
        <v>96</v>
      </c>
      <c r="B5" s="14" t="s">
        <v>97</v>
      </c>
      <c r="C5" s="14" t="s">
        <v>98</v>
      </c>
      <c r="D5" s="15">
        <v>46146</v>
      </c>
      <c r="E5" s="14" t="s">
        <v>99</v>
      </c>
      <c r="F5" s="14" t="s">
        <v>73</v>
      </c>
      <c r="G5" s="15" t="s">
        <v>74</v>
      </c>
      <c r="H5" s="15">
        <v>46162</v>
      </c>
      <c r="I5" s="15"/>
      <c r="J5" s="16">
        <f t="shared" ca="1" si="0"/>
        <v>165</v>
      </c>
      <c r="K5" s="14" t="str">
        <f ca="1">IF(J5&gt;'Severity Framework'!$B$4,"Pending closure",IF(F5="Yes","Ongoing alert","Open - RNA pending"))</f>
        <v>Pending closure</v>
      </c>
      <c r="L5" s="14" t="s">
        <v>24</v>
      </c>
      <c r="M5" s="14" t="s">
        <v>24</v>
      </c>
      <c r="N5" s="14" t="str">
        <f>IF(OR(L5="",M5=""),"",IF(VLOOKUP(M5,'Severity Framework'!$J$3:$K$6,2,FALSE)=VLOOKUP(L5,'Severity Framework'!$J$3:$K$6,2,FALSE),"No change",IF(VLOOKUP(M5,'Severity Framework'!$J$3:$K$6,2,FALSE)&gt;VLOOKUP(L5,'Severity Framework'!$J$3:$K$6,2,FALSE),"↑"&amp; (VLOOKUP(M5,'Severity Framework'!$J$3:$K$6,2,FALSE)-VLOOKUP(L5,'Severity Framework'!$J$3:$K$6,2,FALSE)) &amp;" level","↓"&amp; ABS(VLOOKUP(M5,'Severity Framework'!$J$3:$K$6,2,FALSE)-VLOOKUP(L5,'Severity Framework'!$J$3:$K$6,2,FALSE)) &amp;" level")))</f>
        <v>No change</v>
      </c>
      <c r="O5" s="14" t="s">
        <v>75</v>
      </c>
      <c r="P5" s="14" t="s">
        <v>100</v>
      </c>
      <c r="Q5" s="14" t="s">
        <v>101</v>
      </c>
      <c r="R5" s="14" t="s">
        <v>74</v>
      </c>
      <c r="S5" s="14"/>
      <c r="T5" s="14" t="s">
        <v>102</v>
      </c>
      <c r="U5" s="14" t="s">
        <v>103</v>
      </c>
      <c r="V5" s="14"/>
      <c r="W5" s="14"/>
    </row>
    <row r="6" spans="1:23" ht="24.95">
      <c r="A6" s="11" t="s">
        <v>104</v>
      </c>
      <c r="B6" s="11" t="s">
        <v>81</v>
      </c>
      <c r="C6" s="11" t="s">
        <v>105</v>
      </c>
      <c r="D6" s="12">
        <v>46148</v>
      </c>
      <c r="E6" s="11" t="s">
        <v>106</v>
      </c>
      <c r="F6" s="11" t="s">
        <v>73</v>
      </c>
      <c r="G6" s="12" t="s">
        <v>73</v>
      </c>
      <c r="H6" s="12">
        <v>46161</v>
      </c>
      <c r="I6" s="12">
        <v>46191</v>
      </c>
      <c r="J6" s="13">
        <f t="shared" ca="1" si="0"/>
        <v>163</v>
      </c>
      <c r="K6" s="11" t="str">
        <f ca="1">IF(J6&gt;'Severity Framework'!$B$4,"Pending closure",IF(F6="Yes","Ongoing alert","Open - RNA pending"))</f>
        <v>Pending closure</v>
      </c>
      <c r="L6" s="11" t="s">
        <v>18</v>
      </c>
      <c r="M6" s="11" t="s">
        <v>18</v>
      </c>
      <c r="N6" s="11" t="str">
        <f>IF(OR(L6="",M6=""),"",IF(VLOOKUP(M6,'Severity Framework'!$J$3:$K$6,2,FALSE)=VLOOKUP(L6,'Severity Framework'!$J$3:$K$6,2,FALSE),"No change",IF(VLOOKUP(M6,'Severity Framework'!$J$3:$K$6,2,FALSE)&gt;VLOOKUP(L6,'Severity Framework'!$J$3:$K$6,2,FALSE),"↑"&amp; (VLOOKUP(M6,'Severity Framework'!$J$3:$K$6,2,FALSE)-VLOOKUP(L6,'Severity Framework'!$J$3:$K$6,2,FALSE)) &amp;" level","↓"&amp; ABS(VLOOKUP(M6,'Severity Framework'!$J$3:$K$6,2,FALSE)-VLOOKUP(L6,'Severity Framework'!$J$3:$K$6,2,FALSE)) &amp;" level")))</f>
        <v>No change</v>
      </c>
      <c r="O6" s="11" t="s">
        <v>75</v>
      </c>
      <c r="P6" s="11" t="s">
        <v>107</v>
      </c>
      <c r="Q6" s="11" t="s">
        <v>108</v>
      </c>
      <c r="R6" s="11" t="s">
        <v>93</v>
      </c>
      <c r="S6" s="11" t="s">
        <v>96</v>
      </c>
      <c r="T6" s="11" t="s">
        <v>109</v>
      </c>
      <c r="U6" s="11" t="s">
        <v>110</v>
      </c>
      <c r="V6" s="11" t="s">
        <v>111</v>
      </c>
      <c r="W6" s="11"/>
    </row>
    <row r="7" spans="1:23" ht="24.95">
      <c r="A7" s="14" t="s">
        <v>112</v>
      </c>
      <c r="B7" s="14" t="s">
        <v>97</v>
      </c>
      <c r="C7" s="14" t="s">
        <v>113</v>
      </c>
      <c r="D7" s="15">
        <v>46161</v>
      </c>
      <c r="E7" s="14" t="s">
        <v>83</v>
      </c>
      <c r="F7" s="14" t="s">
        <v>73</v>
      </c>
      <c r="G7" s="15" t="s">
        <v>74</v>
      </c>
      <c r="H7" s="15">
        <v>46174</v>
      </c>
      <c r="I7" s="15"/>
      <c r="J7" s="16">
        <f t="shared" ca="1" si="0"/>
        <v>150</v>
      </c>
      <c r="K7" s="14" t="str">
        <f ca="1">IF(J7&gt;'Severity Framework'!$B$4,"Pending closure",IF(F7="Yes","Ongoing alert","Open - RNA pending"))</f>
        <v>Pending closure</v>
      </c>
      <c r="L7" s="14" t="s">
        <v>18</v>
      </c>
      <c r="M7" s="14" t="s">
        <v>18</v>
      </c>
      <c r="N7" s="14" t="str">
        <f>IF(OR(L7="",M7=""),"",IF(VLOOKUP(M7,'Severity Framework'!$J$3:$K$6,2,FALSE)=VLOOKUP(L7,'Severity Framework'!$J$3:$K$6,2,FALSE),"No change",IF(VLOOKUP(M7,'Severity Framework'!$J$3:$K$6,2,FALSE)&gt;VLOOKUP(L7,'Severity Framework'!$J$3:$K$6,2,FALSE),"↑"&amp; (VLOOKUP(M7,'Severity Framework'!$J$3:$K$6,2,FALSE)-VLOOKUP(L7,'Severity Framework'!$J$3:$K$6,2,FALSE)) &amp;" level","↓"&amp; ABS(VLOOKUP(M7,'Severity Framework'!$J$3:$K$6,2,FALSE)-VLOOKUP(L7,'Severity Framework'!$J$3:$K$6,2,FALSE)) &amp;" level")))</f>
        <v>No change</v>
      </c>
      <c r="O7" s="14" t="s">
        <v>75</v>
      </c>
      <c r="P7" s="14" t="s">
        <v>114</v>
      </c>
      <c r="Q7" s="14" t="s">
        <v>115</v>
      </c>
      <c r="R7" s="14" t="s">
        <v>93</v>
      </c>
      <c r="S7" s="14" t="s">
        <v>96</v>
      </c>
      <c r="T7" s="14" t="s">
        <v>116</v>
      </c>
      <c r="U7" s="14" t="s">
        <v>117</v>
      </c>
      <c r="V7" s="14"/>
      <c r="W7" s="14"/>
    </row>
    <row r="8" spans="1:23" ht="24.95">
      <c r="A8" s="11" t="s">
        <v>118</v>
      </c>
      <c r="B8" s="11" t="s">
        <v>89</v>
      </c>
      <c r="C8" s="11" t="s">
        <v>119</v>
      </c>
      <c r="D8" s="12">
        <v>46168</v>
      </c>
      <c r="E8" s="11" t="s">
        <v>91</v>
      </c>
      <c r="F8" s="11" t="s">
        <v>74</v>
      </c>
      <c r="G8" s="12" t="s">
        <v>74</v>
      </c>
      <c r="H8" s="12"/>
      <c r="I8" s="12"/>
      <c r="J8" s="13">
        <f t="shared" ca="1" si="0"/>
        <v>143</v>
      </c>
      <c r="K8" s="11" t="str">
        <f ca="1">IF(J8&gt;'Severity Framework'!$B$4,"Pending closure",IF(F8="Yes","Ongoing alert","Open - RNA pending"))</f>
        <v>Pending closure</v>
      </c>
      <c r="L8" s="11" t="s">
        <v>17</v>
      </c>
      <c r="M8" s="11" t="s">
        <v>17</v>
      </c>
      <c r="N8" s="11" t="str">
        <f>IF(OR(L8="",M8=""),"",IF(VLOOKUP(M8,'Severity Framework'!$J$3:$K$6,2,FALSE)=VLOOKUP(L8,'Severity Framework'!$J$3:$K$6,2,FALSE),"No change",IF(VLOOKUP(M8,'Severity Framework'!$J$3:$K$6,2,FALSE)&gt;VLOOKUP(L8,'Severity Framework'!$J$3:$K$6,2,FALSE),"↑"&amp; (VLOOKUP(M8,'Severity Framework'!$J$3:$K$6,2,FALSE)-VLOOKUP(L8,'Severity Framework'!$J$3:$K$6,2,FALSE)) &amp;" level","↓"&amp; ABS(VLOOKUP(M8,'Severity Framework'!$J$3:$K$6,2,FALSE)-VLOOKUP(L8,'Severity Framework'!$J$3:$K$6,2,FALSE)) &amp;" level")))</f>
        <v>No change</v>
      </c>
      <c r="O8" s="11" t="s">
        <v>75</v>
      </c>
      <c r="P8" s="11" t="s">
        <v>120</v>
      </c>
      <c r="Q8" s="11" t="s">
        <v>120</v>
      </c>
      <c r="R8" s="11" t="s">
        <v>93</v>
      </c>
      <c r="S8" s="11" t="s">
        <v>88</v>
      </c>
      <c r="T8" s="11" t="s">
        <v>121</v>
      </c>
      <c r="U8" s="11"/>
      <c r="V8" s="11"/>
      <c r="W8" s="11"/>
    </row>
    <row r="9" spans="1:23" ht="37.5">
      <c r="A9" s="14" t="s">
        <v>122</v>
      </c>
      <c r="B9" s="14" t="s">
        <v>89</v>
      </c>
      <c r="C9" s="14" t="s">
        <v>123</v>
      </c>
      <c r="D9" s="15">
        <v>46168</v>
      </c>
      <c r="E9" s="14" t="s">
        <v>91</v>
      </c>
      <c r="F9" s="14" t="s">
        <v>73</v>
      </c>
      <c r="G9" s="15" t="s">
        <v>74</v>
      </c>
      <c r="H9" s="15">
        <v>46190</v>
      </c>
      <c r="I9" s="15"/>
      <c r="J9" s="16">
        <f t="shared" ca="1" si="0"/>
        <v>143</v>
      </c>
      <c r="K9" s="14" t="str">
        <f ca="1">IF(J9&gt;'Severity Framework'!$B$4,"Pending closure",IF(F9="Yes","Ongoing alert","Open - RNA pending"))</f>
        <v>Pending closure</v>
      </c>
      <c r="L9" s="14" t="s">
        <v>18</v>
      </c>
      <c r="M9" s="14" t="s">
        <v>24</v>
      </c>
      <c r="N9" s="14" t="str">
        <f>IF(OR(L9="",M9=""),"",IF(VLOOKUP(M9,'Severity Framework'!$J$3:$K$6,2,FALSE)=VLOOKUP(L9,'Severity Framework'!$J$3:$K$6,2,FALSE),"No change",IF(VLOOKUP(M9,'Severity Framework'!$J$3:$K$6,2,FALSE)&gt;VLOOKUP(L9,'Severity Framework'!$J$3:$K$6,2,FALSE),"↑"&amp; (VLOOKUP(M9,'Severity Framework'!$J$3:$K$6,2,FALSE)-VLOOKUP(L9,'Severity Framework'!$J$3:$K$6,2,FALSE)) &amp;" level","↓"&amp; ABS(VLOOKUP(M9,'Severity Framework'!$J$3:$K$6,2,FALSE)-VLOOKUP(L9,'Severity Framework'!$J$3:$K$6,2,FALSE)) &amp;" level")))</f>
        <v>↑1 level</v>
      </c>
      <c r="O9" s="14" t="s">
        <v>75</v>
      </c>
      <c r="P9" s="14" t="s">
        <v>124</v>
      </c>
      <c r="Q9" s="14" t="s">
        <v>125</v>
      </c>
      <c r="R9" s="14" t="s">
        <v>74</v>
      </c>
      <c r="S9" s="14"/>
      <c r="T9" s="14" t="s">
        <v>126</v>
      </c>
      <c r="U9" s="14" t="s">
        <v>127</v>
      </c>
      <c r="V9" s="14"/>
      <c r="W9" s="14" t="s">
        <v>128</v>
      </c>
    </row>
    <row r="10" spans="1:23" ht="24.95">
      <c r="A10" s="11" t="s">
        <v>129</v>
      </c>
      <c r="B10" s="11" t="s">
        <v>97</v>
      </c>
      <c r="C10" s="11" t="s">
        <v>98</v>
      </c>
      <c r="D10" s="12">
        <v>46181</v>
      </c>
      <c r="E10" s="11" t="s">
        <v>99</v>
      </c>
      <c r="F10" s="11" t="s">
        <v>73</v>
      </c>
      <c r="G10" s="12" t="s">
        <v>74</v>
      </c>
      <c r="H10" s="12">
        <v>46192</v>
      </c>
      <c r="I10" s="12"/>
      <c r="J10" s="13">
        <f t="shared" ca="1" si="0"/>
        <v>130</v>
      </c>
      <c r="K10" s="11" t="str">
        <f ca="1">IF(J10&gt;'Severity Framework'!$B$4,"Pending closure",IF(F10="Yes","Ongoing alert","Open - RNA pending"))</f>
        <v>Pending closure</v>
      </c>
      <c r="L10" s="11" t="s">
        <v>17</v>
      </c>
      <c r="M10" s="11" t="s">
        <v>18</v>
      </c>
      <c r="N10" s="11" t="str">
        <f>IF(OR(L10="",M10=""),"",IF(VLOOKUP(M10,'Severity Framework'!$J$3:$K$6,2,FALSE)=VLOOKUP(L10,'Severity Framework'!$J$3:$K$6,2,FALSE),"No change",IF(VLOOKUP(M10,'Severity Framework'!$J$3:$K$6,2,FALSE)&gt;VLOOKUP(L10,'Severity Framework'!$J$3:$K$6,2,FALSE),"↑"&amp; (VLOOKUP(M10,'Severity Framework'!$J$3:$K$6,2,FALSE)-VLOOKUP(L10,'Severity Framework'!$J$3:$K$6,2,FALSE)) &amp;" level","↓"&amp; ABS(VLOOKUP(M10,'Severity Framework'!$J$3:$K$6,2,FALSE)-VLOOKUP(L10,'Severity Framework'!$J$3:$K$6,2,FALSE)) &amp;" level")))</f>
        <v>↑1 level</v>
      </c>
      <c r="O10" s="11" t="s">
        <v>75</v>
      </c>
      <c r="P10" s="11" t="s">
        <v>130</v>
      </c>
      <c r="Q10" s="11" t="s">
        <v>131</v>
      </c>
      <c r="R10" s="11" t="s">
        <v>73</v>
      </c>
      <c r="S10" s="11" t="s">
        <v>132</v>
      </c>
      <c r="T10" s="11" t="s">
        <v>133</v>
      </c>
      <c r="U10" s="11" t="s">
        <v>134</v>
      </c>
      <c r="V10" s="11"/>
      <c r="W10" s="11"/>
    </row>
    <row r="11" spans="1:23" s="22" customFormat="1" ht="24.95">
      <c r="A11" s="19" t="s">
        <v>135</v>
      </c>
      <c r="B11" s="19" t="s">
        <v>81</v>
      </c>
      <c r="C11" s="19" t="s">
        <v>105</v>
      </c>
      <c r="D11" s="20">
        <v>46190</v>
      </c>
      <c r="E11" s="19" t="s">
        <v>106</v>
      </c>
      <c r="F11" s="19" t="s">
        <v>73</v>
      </c>
      <c r="G11" s="20" t="s">
        <v>74</v>
      </c>
      <c r="H11" s="20">
        <v>46204</v>
      </c>
      <c r="I11" s="20"/>
      <c r="J11" s="21">
        <f t="shared" ca="1" si="0"/>
        <v>121</v>
      </c>
      <c r="K11" s="19" t="str">
        <f ca="1">IF(J11&gt;'Severity Framework'!$B$4,"Pending closure",IF(F11="Yes","Ongoing alert","Open - RNA pending"))</f>
        <v>Pending closure</v>
      </c>
      <c r="L11" s="19" t="s">
        <v>18</v>
      </c>
      <c r="M11" s="19" t="s">
        <v>18</v>
      </c>
      <c r="N11" s="19" t="str">
        <f>IF(OR(L11="",M11=""),"",IF(VLOOKUP(M11,'Severity Framework'!$J$3:$K$6,2,FALSE)=VLOOKUP(L11,'Severity Framework'!$J$3:$K$6,2,FALSE),"No change",IF(VLOOKUP(M11,'Severity Framework'!$J$3:$K$6,2,FALSE)&gt;VLOOKUP(L11,'Severity Framework'!$J$3:$K$6,2,FALSE),"↑"&amp; (VLOOKUP(M11,'Severity Framework'!$J$3:$K$6,2,FALSE)-VLOOKUP(L11,'Severity Framework'!$J$3:$K$6,2,FALSE)) &amp;" level","↓"&amp; ABS(VLOOKUP(M11,'Severity Framework'!$J$3:$K$6,2,FALSE)-VLOOKUP(L11,'Severity Framework'!$J$3:$K$6,2,FALSE)) &amp;" level")))</f>
        <v>No change</v>
      </c>
      <c r="O11" s="19" t="s">
        <v>75</v>
      </c>
      <c r="P11" s="19" t="s">
        <v>136</v>
      </c>
      <c r="Q11" s="19" t="s">
        <v>137</v>
      </c>
      <c r="R11" s="19" t="s">
        <v>73</v>
      </c>
      <c r="S11" s="19" t="s">
        <v>104</v>
      </c>
      <c r="T11" s="19" t="s">
        <v>138</v>
      </c>
      <c r="U11" s="19" t="s">
        <v>139</v>
      </c>
      <c r="V11" s="19"/>
      <c r="W11" s="19"/>
    </row>
    <row r="12" spans="1:23" ht="24.95">
      <c r="A12" s="11" t="s">
        <v>140</v>
      </c>
      <c r="B12" s="11" t="s">
        <v>81</v>
      </c>
      <c r="C12" s="11" t="s">
        <v>105</v>
      </c>
      <c r="D12" s="12">
        <v>46232</v>
      </c>
      <c r="E12" s="11" t="s">
        <v>141</v>
      </c>
      <c r="F12" s="11" t="s">
        <v>73</v>
      </c>
      <c r="G12" s="12" t="s">
        <v>74</v>
      </c>
      <c r="H12" s="12">
        <v>46247</v>
      </c>
      <c r="I12" s="12"/>
      <c r="J12" s="13">
        <f t="shared" ca="1" si="0"/>
        <v>79</v>
      </c>
      <c r="K12" s="11" t="str">
        <f ca="1">IF(J12&gt;'Severity Framework'!$B$4,"Pending closure",IF(F12="Yes","Ongoing alert","Open - RNA pending"))</f>
        <v>Ongoing alert</v>
      </c>
      <c r="L12" s="11" t="s">
        <v>18</v>
      </c>
      <c r="M12" s="11" t="s">
        <v>18</v>
      </c>
      <c r="N12" s="11" t="str">
        <f>IF(OR(L12="",M12=""),"",IF(VLOOKUP(M12,'Severity Framework'!$J$3:$K$6,2,FALSE)=VLOOKUP(L12,'Severity Framework'!$J$3:$K$6,2,FALSE),"No change",IF(VLOOKUP(M12,'Severity Framework'!$J$3:$K$6,2,FALSE)&gt;VLOOKUP(L12,'Severity Framework'!$J$3:$K$6,2,FALSE),"↑"&amp; (VLOOKUP(M12,'Severity Framework'!$J$3:$K$6,2,FALSE)-VLOOKUP(L12,'Severity Framework'!$J$3:$K$6,2,FALSE)) &amp;" level","↓"&amp; ABS(VLOOKUP(M12,'Severity Framework'!$J$3:$K$6,2,FALSE)-VLOOKUP(L12,'Severity Framework'!$J$3:$K$6,2,FALSE)) &amp;" level")))</f>
        <v>No change</v>
      </c>
      <c r="O12" s="11" t="s">
        <v>75</v>
      </c>
      <c r="P12" s="11" t="s">
        <v>142</v>
      </c>
      <c r="Q12" s="11" t="s">
        <v>143</v>
      </c>
      <c r="R12" s="11" t="s">
        <v>74</v>
      </c>
      <c r="S12" s="11"/>
      <c r="T12" s="11" t="s">
        <v>144</v>
      </c>
      <c r="U12" s="11" t="s">
        <v>145</v>
      </c>
      <c r="V12" s="11"/>
      <c r="W12" s="11"/>
    </row>
    <row r="13" spans="1:23">
      <c r="A13" s="14" t="s">
        <v>146</v>
      </c>
      <c r="B13" s="14" t="s">
        <v>97</v>
      </c>
      <c r="C13" s="14" t="s">
        <v>98</v>
      </c>
      <c r="D13" s="15">
        <v>46234</v>
      </c>
      <c r="E13" s="14" t="s">
        <v>91</v>
      </c>
      <c r="F13" s="14" t="s">
        <v>73</v>
      </c>
      <c r="G13" s="15" t="s">
        <v>74</v>
      </c>
      <c r="H13" s="15">
        <v>46247</v>
      </c>
      <c r="I13" s="15"/>
      <c r="J13" s="16">
        <f t="shared" ca="1" si="0"/>
        <v>77</v>
      </c>
      <c r="K13" s="14" t="str">
        <f ca="1">IF(J13&gt;'Severity Framework'!$B$4,"Pending closure",IF(F13="Yes","Ongoing alert","Open - RNA pending"))</f>
        <v>Ongoing alert</v>
      </c>
      <c r="L13" s="14" t="s">
        <v>17</v>
      </c>
      <c r="M13" s="14" t="s">
        <v>18</v>
      </c>
      <c r="N13" s="14" t="str">
        <f>IF(OR(L13="",M13=""),"",IF(VLOOKUP(M13,'Severity Framework'!$J$3:$K$6,2,FALSE)=VLOOKUP(L13,'Severity Framework'!$J$3:$K$6,2,FALSE),"No change",IF(VLOOKUP(M13,'Severity Framework'!$J$3:$K$6,2,FALSE)&gt;VLOOKUP(L13,'Severity Framework'!$J$3:$K$6,2,FALSE),"↑"&amp; (VLOOKUP(M13,'Severity Framework'!$J$3:$K$6,2,FALSE)-VLOOKUP(L13,'Severity Framework'!$J$3:$K$6,2,FALSE)) &amp;" level","↓"&amp; ABS(VLOOKUP(M13,'Severity Framework'!$J$3:$K$6,2,FALSE)-VLOOKUP(L13,'Severity Framework'!$J$3:$K$6,2,FALSE)) &amp;" level")))</f>
        <v>↑1 level</v>
      </c>
      <c r="O13" s="14" t="s">
        <v>75</v>
      </c>
      <c r="P13" s="14" t="s">
        <v>147</v>
      </c>
      <c r="Q13" s="14" t="s">
        <v>148</v>
      </c>
      <c r="R13" s="14" t="s">
        <v>93</v>
      </c>
      <c r="S13" s="14" t="s">
        <v>96</v>
      </c>
      <c r="T13" s="14" t="s">
        <v>149</v>
      </c>
      <c r="U13" s="14" t="s">
        <v>150</v>
      </c>
      <c r="V13" s="14"/>
      <c r="W13" s="14"/>
    </row>
    <row r="14" spans="1:23" ht="37.5">
      <c r="A14" s="11" t="s">
        <v>151</v>
      </c>
      <c r="B14" s="11" t="s">
        <v>97</v>
      </c>
      <c r="C14" s="11" t="s">
        <v>98</v>
      </c>
      <c r="D14" s="12">
        <v>46234</v>
      </c>
      <c r="E14" s="11" t="s">
        <v>152</v>
      </c>
      <c r="F14" s="11" t="s">
        <v>73</v>
      </c>
      <c r="G14" s="12" t="s">
        <v>74</v>
      </c>
      <c r="H14" s="12">
        <v>46253</v>
      </c>
      <c r="I14" s="12"/>
      <c r="J14" s="13">
        <f t="shared" ca="1" si="0"/>
        <v>77</v>
      </c>
      <c r="K14" s="11" t="str">
        <f ca="1">IF(J14&gt;'Severity Framework'!$B$4,"Pending closure",IF(F14="Yes","Ongoing alert","Open - RNA pending"))</f>
        <v>Ongoing alert</v>
      </c>
      <c r="L14" s="11" t="s">
        <v>24</v>
      </c>
      <c r="M14" s="11" t="s">
        <v>24</v>
      </c>
      <c r="N14" s="11" t="str">
        <f>IF(OR(L14="",M14=""),"",IF(VLOOKUP(M14,'Severity Framework'!$J$3:$K$6,2,FALSE)=VLOOKUP(L14,'Severity Framework'!$J$3:$K$6,2,FALSE),"No change",IF(VLOOKUP(M14,'Severity Framework'!$J$3:$K$6,2,FALSE)&gt;VLOOKUP(L14,'Severity Framework'!$J$3:$K$6,2,FALSE),"↑"&amp; (VLOOKUP(M14,'Severity Framework'!$J$3:$K$6,2,FALSE)-VLOOKUP(L14,'Severity Framework'!$J$3:$K$6,2,FALSE)) &amp;" level","↓"&amp; ABS(VLOOKUP(M14,'Severity Framework'!$J$3:$K$6,2,FALSE)-VLOOKUP(L14,'Severity Framework'!$J$3:$K$6,2,FALSE)) &amp;" level")))</f>
        <v>No change</v>
      </c>
      <c r="O14" s="11" t="s">
        <v>153</v>
      </c>
      <c r="P14" s="11" t="s">
        <v>154</v>
      </c>
      <c r="Q14" s="11" t="s">
        <v>155</v>
      </c>
      <c r="R14" s="11" t="s">
        <v>73</v>
      </c>
      <c r="S14" s="11" t="s">
        <v>156</v>
      </c>
      <c r="T14" s="11" t="s">
        <v>157</v>
      </c>
      <c r="U14" s="11" t="s">
        <v>158</v>
      </c>
      <c r="V14" s="11"/>
      <c r="W14" s="11"/>
    </row>
    <row r="15" spans="1:23" ht="24.95">
      <c r="A15" s="14" t="s">
        <v>159</v>
      </c>
      <c r="B15" s="14" t="s">
        <v>160</v>
      </c>
      <c r="C15" s="14" t="s">
        <v>161</v>
      </c>
      <c r="D15" s="15">
        <v>46245</v>
      </c>
      <c r="E15" s="14" t="s">
        <v>162</v>
      </c>
      <c r="F15" s="14" t="s">
        <v>73</v>
      </c>
      <c r="G15" s="15" t="s">
        <v>74</v>
      </c>
      <c r="H15" s="15">
        <v>46251</v>
      </c>
      <c r="I15" s="15"/>
      <c r="J15" s="16">
        <f t="shared" ca="1" si="0"/>
        <v>66</v>
      </c>
      <c r="K15" s="14" t="str">
        <f ca="1">IF(J15&gt;'Severity Framework'!$B$4,"Pending closure",IF(F15="Yes","Ongoing alert","Open - RNA pending"))</f>
        <v>Ongoing alert</v>
      </c>
      <c r="L15" s="14" t="s">
        <v>18</v>
      </c>
      <c r="M15" s="14" t="s">
        <v>18</v>
      </c>
      <c r="N15" s="14" t="str">
        <f>IF(OR(L15="",M15=""),"",IF(VLOOKUP(M15,'Severity Framework'!$J$3:$K$6,2,FALSE)=VLOOKUP(L15,'Severity Framework'!$J$3:$K$6,2,FALSE),"No change",IF(VLOOKUP(M15,'Severity Framework'!$J$3:$K$6,2,FALSE)&gt;VLOOKUP(L15,'Severity Framework'!$J$3:$K$6,2,FALSE),"↑"&amp; (VLOOKUP(M15,'Severity Framework'!$J$3:$K$6,2,FALSE)-VLOOKUP(L15,'Severity Framework'!$J$3:$K$6,2,FALSE)) &amp;" level","↓"&amp; ABS(VLOOKUP(M15,'Severity Framework'!$J$3:$K$6,2,FALSE)-VLOOKUP(L15,'Severity Framework'!$J$3:$K$6,2,FALSE)) &amp;" level")))</f>
        <v>No change</v>
      </c>
      <c r="O15" s="14" t="s">
        <v>75</v>
      </c>
      <c r="P15" s="14" t="s">
        <v>163</v>
      </c>
      <c r="Q15" s="14" t="s">
        <v>164</v>
      </c>
      <c r="R15" s="14" t="s">
        <v>74</v>
      </c>
      <c r="S15" s="14"/>
      <c r="T15" s="14" t="s">
        <v>165</v>
      </c>
      <c r="U15" s="14" t="s">
        <v>166</v>
      </c>
      <c r="V15" s="14"/>
      <c r="W15" s="14" t="s">
        <v>167</v>
      </c>
    </row>
    <row r="16" spans="1:23" ht="37.5">
      <c r="A16" s="11" t="s">
        <v>168</v>
      </c>
      <c r="B16" s="11" t="s">
        <v>89</v>
      </c>
      <c r="C16" s="11" t="s">
        <v>169</v>
      </c>
      <c r="D16" s="12">
        <v>46253</v>
      </c>
      <c r="E16" s="11" t="s">
        <v>99</v>
      </c>
      <c r="F16" s="11" t="s">
        <v>73</v>
      </c>
      <c r="G16" s="12" t="s">
        <v>74</v>
      </c>
      <c r="H16" s="12">
        <v>46266</v>
      </c>
      <c r="I16" s="12"/>
      <c r="J16" s="13">
        <f t="shared" ca="1" si="0"/>
        <v>58</v>
      </c>
      <c r="K16" s="11" t="str">
        <f ca="1">IF(J16&gt;'Severity Framework'!$B$4,"Pending closure",IF(F16="Yes","Ongoing alert","Open - RNA pending"))</f>
        <v>Ongoing alert</v>
      </c>
      <c r="L16" s="11" t="s">
        <v>18</v>
      </c>
      <c r="M16" s="11" t="s">
        <v>18</v>
      </c>
      <c r="N16" s="11" t="str">
        <f>IF(OR(L16="",M16=""),"",IF(VLOOKUP(M16,'Severity Framework'!$J$3:$K$6,2,FALSE)=VLOOKUP(L16,'Severity Framework'!$J$3:$K$6,2,FALSE),"No change",IF(VLOOKUP(M16,'Severity Framework'!$J$3:$K$6,2,FALSE)&gt;VLOOKUP(L16,'Severity Framework'!$J$3:$K$6,2,FALSE),"↑"&amp; (VLOOKUP(M16,'Severity Framework'!$J$3:$K$6,2,FALSE)-VLOOKUP(L16,'Severity Framework'!$J$3:$K$6,2,FALSE)) &amp;" level","↓"&amp; ABS(VLOOKUP(M16,'Severity Framework'!$J$3:$K$6,2,FALSE)-VLOOKUP(L16,'Severity Framework'!$J$3:$K$6,2,FALSE)) &amp;" level")))</f>
        <v>No change</v>
      </c>
      <c r="O16" s="11" t="s">
        <v>75</v>
      </c>
      <c r="P16" s="11" t="s">
        <v>170</v>
      </c>
      <c r="Q16" s="11" t="s">
        <v>171</v>
      </c>
      <c r="R16" s="11" t="s">
        <v>74</v>
      </c>
      <c r="S16" s="11"/>
      <c r="T16" s="11" t="s">
        <v>172</v>
      </c>
      <c r="U16" s="11" t="s">
        <v>173</v>
      </c>
      <c r="V16" s="11"/>
      <c r="W16" s="11"/>
    </row>
    <row r="17" spans="1:23" ht="50.1">
      <c r="A17" s="14" t="s">
        <v>174</v>
      </c>
      <c r="B17" s="14" t="s">
        <v>160</v>
      </c>
      <c r="C17" s="14" t="s">
        <v>175</v>
      </c>
      <c r="D17" s="15">
        <v>46275</v>
      </c>
      <c r="E17" s="14" t="s">
        <v>176</v>
      </c>
      <c r="F17" s="14" t="s">
        <v>73</v>
      </c>
      <c r="G17" s="15" t="s">
        <v>74</v>
      </c>
      <c r="H17" s="15">
        <v>46282</v>
      </c>
      <c r="I17" s="15"/>
      <c r="J17" s="16">
        <f ca="1">TODAY()-D17</f>
        <v>36</v>
      </c>
      <c r="K17" s="14" t="str">
        <f ca="1">IF(J17&gt;'Severity Framework'!$B$4,"Pending closure",IF(F17="Yes","Ongoing alert","Open - RNA pending"))</f>
        <v>Ongoing alert</v>
      </c>
      <c r="L17" s="14" t="s">
        <v>17</v>
      </c>
      <c r="M17" s="14" t="s">
        <v>18</v>
      </c>
      <c r="N17" s="14" t="str">
        <f>IF(OR(L17="",M17=""),"",IF(VLOOKUP(M17,'Severity Framework'!$J$3:$K$6,2,FALSE)=VLOOKUP(L17,'Severity Framework'!$J$3:$K$6,2,FALSE),"No change",IF(VLOOKUP(M17,'Severity Framework'!$J$3:$K$6,2,FALSE)&gt;VLOOKUP(L17,'Severity Framework'!$J$3:$K$6,2,FALSE),"↑"&amp; (VLOOKUP(M17,'Severity Framework'!$J$3:$K$6,2,FALSE)-VLOOKUP(L17,'Severity Framework'!$J$3:$K$6,2,FALSE)) &amp;" level","↓"&amp; ABS(VLOOKUP(M17,'Severity Framework'!$J$3:$K$6,2,FALSE)-VLOOKUP(L17,'Severity Framework'!$J$3:$K$6,2,FALSE)) &amp;" level")))</f>
        <v>↑1 level</v>
      </c>
      <c r="O17" s="14" t="s">
        <v>75</v>
      </c>
      <c r="P17" s="14" t="s">
        <v>177</v>
      </c>
      <c r="Q17" s="14" t="s">
        <v>178</v>
      </c>
      <c r="R17" s="14" t="s">
        <v>93</v>
      </c>
      <c r="S17" s="14" t="s">
        <v>69</v>
      </c>
      <c r="T17" s="14" t="s">
        <v>179</v>
      </c>
      <c r="U17" s="14" t="s">
        <v>180</v>
      </c>
      <c r="V17" s="14"/>
      <c r="W17" s="14" t="s">
        <v>181</v>
      </c>
    </row>
    <row r="18" spans="1:23" ht="68.25">
      <c r="A18" s="11" t="s">
        <v>182</v>
      </c>
      <c r="B18" s="11" t="s">
        <v>81</v>
      </c>
      <c r="C18" s="11" t="s">
        <v>82</v>
      </c>
      <c r="D18" s="12">
        <v>46280</v>
      </c>
      <c r="E18" s="11" t="s">
        <v>72</v>
      </c>
      <c r="F18" s="11" t="s">
        <v>73</v>
      </c>
      <c r="G18" s="12" t="s">
        <v>74</v>
      </c>
      <c r="H18" s="12">
        <v>46286</v>
      </c>
      <c r="I18" s="12"/>
      <c r="J18" s="13">
        <f ca="1">TODAY()-D18</f>
        <v>31</v>
      </c>
      <c r="K18" s="11" t="str">
        <f ca="1">IF(J18&gt;'Severity Framework'!$B$4,"Pending closure",IF(F18="Yes","Ongoing alert","Open - RNA pending"))</f>
        <v>Ongoing alert</v>
      </c>
      <c r="L18" s="11" t="s">
        <v>17</v>
      </c>
      <c r="M18" s="11" t="s">
        <v>18</v>
      </c>
      <c r="N18" s="11" t="s">
        <v>183</v>
      </c>
      <c r="O18" s="11" t="s">
        <v>75</v>
      </c>
      <c r="P18" s="11" t="s">
        <v>184</v>
      </c>
      <c r="Q18" s="11" t="s">
        <v>185</v>
      </c>
      <c r="R18" s="11" t="s">
        <v>93</v>
      </c>
      <c r="S18" s="11" t="s">
        <v>186</v>
      </c>
      <c r="T18" s="11" t="s">
        <v>187</v>
      </c>
      <c r="U18" s="11" t="s">
        <v>188</v>
      </c>
      <c r="V18" s="11"/>
      <c r="W18" s="11" t="s">
        <v>189</v>
      </c>
    </row>
    <row r="19" spans="1:23" ht="27.75">
      <c r="A19" s="11" t="s">
        <v>190</v>
      </c>
      <c r="B19" s="11" t="s">
        <v>81</v>
      </c>
      <c r="C19" s="11" t="s">
        <v>82</v>
      </c>
      <c r="D19" s="12">
        <v>46296</v>
      </c>
      <c r="E19" s="11" t="s">
        <v>191</v>
      </c>
      <c r="F19" s="11" t="s">
        <v>192</v>
      </c>
      <c r="G19" s="12" t="s">
        <v>74</v>
      </c>
      <c r="H19" s="12"/>
      <c r="I19" s="12"/>
      <c r="J19" s="13"/>
      <c r="K19" s="11" t="str">
        <f>IF(J19&gt;'Severity Framework'!$B$4,"Pending closure",IF(F19="Yes","Ongoing alert","Open - RNA pending"))</f>
        <v>Ongoing alert</v>
      </c>
      <c r="L19" s="11" t="s">
        <v>24</v>
      </c>
      <c r="M19" s="11"/>
      <c r="N19" s="11" t="str">
        <f>IF(OR(L19="",M19=""),"",IF(VLOOKUP(M19,'Severity Framework'!$J$3:$K$6,2,FALSE)=VLOOKUP(L19,'Severity Framework'!$J$3:$K$6,2,FALSE),"No change",IF(VLOOKUP(M19,'Severity Framework'!$J$3:$K$6,2,FALSE)&gt;VLOOKUP(L19,'Severity Framework'!$J$3:$K$6,2,FALSE),"↑"&amp; (VLOOKUP(M19,'Severity Framework'!$J$3:$K$6,2,FALSE)-VLOOKUP(L19,'Severity Framework'!$J$3:$K$6,2,FALSE)) &amp;" level","↓"&amp; ABS(VLOOKUP(M19,'Severity Framework'!$J$3:$K$6,2,FALSE)-VLOOKUP(L19,'Severity Framework'!$J$3:$K$6,2,FALSE)) &amp;" level")))</f>
        <v/>
      </c>
      <c r="O19" s="11" t="s">
        <v>75</v>
      </c>
      <c r="P19" s="11" t="s">
        <v>193</v>
      </c>
      <c r="Q19" s="11"/>
      <c r="R19" s="11" t="s">
        <v>74</v>
      </c>
      <c r="S19" s="11"/>
      <c r="T19" s="11" t="s">
        <v>194</v>
      </c>
      <c r="U19" s="11"/>
      <c r="V19" s="11"/>
      <c r="W19" s="11"/>
    </row>
  </sheetData>
  <conditionalFormatting sqref="K2:K19">
    <cfRule type="expression" dxfId="105" priority="9">
      <formula>K2="Pending closure"</formula>
    </cfRule>
    <cfRule type="expression" dxfId="104" priority="10">
      <formula>K2="Ongoing alert"</formula>
    </cfRule>
  </conditionalFormatting>
  <conditionalFormatting sqref="L2:L19">
    <cfRule type="expression" dxfId="103" priority="1">
      <formula>L2="Critical"</formula>
    </cfRule>
    <cfRule type="expression" dxfId="102" priority="2">
      <formula>L2="High"</formula>
    </cfRule>
    <cfRule type="expression" dxfId="101" priority="3">
      <formula>L2="Moderate"</formula>
    </cfRule>
    <cfRule type="expression" dxfId="100" priority="4">
      <formula>L2="Low"</formula>
    </cfRule>
  </conditionalFormatting>
  <conditionalFormatting sqref="M2:M19">
    <cfRule type="expression" dxfId="99" priority="5">
      <formula>M2="Critical"</formula>
    </cfRule>
    <cfRule type="expression" dxfId="98" priority="6">
      <formula>M2="High"</formula>
    </cfRule>
    <cfRule type="expression" dxfId="97" priority="7">
      <formula>M2="Moderate"</formula>
    </cfRule>
    <cfRule type="expression" dxfId="96" priority="8">
      <formula>M2="Low"</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F19"/>
  <sheetViews>
    <sheetView topLeftCell="A12" workbookViewId="0">
      <selection activeCell="C19" sqref="C19"/>
    </sheetView>
  </sheetViews>
  <sheetFormatPr defaultRowHeight="14.1"/>
  <cols>
    <col min="1" max="1" width="36" customWidth="1"/>
    <col min="2" max="2" width="12.75" customWidth="1"/>
    <col min="3" max="3" width="14" customWidth="1"/>
    <col min="4" max="4" width="20" customWidth="1"/>
    <col min="5" max="5" width="44" customWidth="1"/>
    <col min="6" max="6" width="22" customWidth="1"/>
    <col min="7" max="7" width="44" customWidth="1"/>
    <col min="8" max="8" width="34" customWidth="1"/>
    <col min="9" max="9" width="30" customWidth="1"/>
    <col min="10" max="10" width="15.625" customWidth="1"/>
    <col min="11" max="11" width="28.25" customWidth="1"/>
    <col min="12" max="12" width="38" customWidth="1"/>
    <col min="13" max="13" width="48" customWidth="1"/>
    <col min="14" max="14" width="32" customWidth="1"/>
    <col min="15" max="15" width="48" customWidth="1"/>
    <col min="16" max="16" width="62" customWidth="1"/>
    <col min="17" max="18" width="32" customWidth="1"/>
    <col min="19" max="19" width="60" customWidth="1"/>
    <col min="20" max="20" width="46" customWidth="1"/>
    <col min="21" max="21" width="28.875" customWidth="1"/>
    <col min="22" max="22" width="31.25" customWidth="1"/>
    <col min="23" max="23" width="24" customWidth="1"/>
    <col min="24" max="24" width="34" customWidth="1"/>
    <col min="25" max="25" width="12" customWidth="1"/>
    <col min="26" max="26" width="14" customWidth="1"/>
    <col min="27" max="27" width="60" customWidth="1"/>
    <col min="28" max="28" width="46" customWidth="1"/>
  </cols>
  <sheetData>
    <row r="1" spans="1:28" ht="30.6" customHeight="1">
      <c r="A1" s="2" t="s">
        <v>47</v>
      </c>
      <c r="B1" s="2" t="s">
        <v>48</v>
      </c>
      <c r="C1" s="2" t="s">
        <v>195</v>
      </c>
      <c r="D1" s="2" t="s">
        <v>49</v>
      </c>
      <c r="E1" s="2" t="s">
        <v>196</v>
      </c>
      <c r="F1" s="2" t="s">
        <v>197</v>
      </c>
      <c r="G1" s="2" t="s">
        <v>198</v>
      </c>
      <c r="H1" s="2" t="s">
        <v>199</v>
      </c>
      <c r="I1" s="2" t="s">
        <v>51</v>
      </c>
      <c r="J1" s="2" t="s">
        <v>60</v>
      </c>
      <c r="K1" s="2" t="s">
        <v>200</v>
      </c>
      <c r="L1" s="2" t="s">
        <v>64</v>
      </c>
      <c r="M1" s="2" t="s">
        <v>201</v>
      </c>
      <c r="N1" s="2" t="s">
        <v>202</v>
      </c>
      <c r="O1" s="2" t="s">
        <v>203</v>
      </c>
      <c r="P1" s="2" t="s">
        <v>204</v>
      </c>
      <c r="Q1" s="2" t="s">
        <v>205</v>
      </c>
      <c r="R1" s="2" t="s">
        <v>206</v>
      </c>
      <c r="S1" s="2" t="s">
        <v>207</v>
      </c>
      <c r="T1" s="2" t="s">
        <v>208</v>
      </c>
      <c r="U1" s="2" t="s">
        <v>209</v>
      </c>
      <c r="V1" s="2" t="s">
        <v>210</v>
      </c>
      <c r="W1" s="2" t="s">
        <v>211</v>
      </c>
      <c r="X1" s="2" t="s">
        <v>212</v>
      </c>
      <c r="Y1" s="2" t="s">
        <v>213</v>
      </c>
      <c r="Z1" s="2" t="s">
        <v>13</v>
      </c>
      <c r="AA1" s="2" t="s">
        <v>214</v>
      </c>
      <c r="AB1" s="2" t="s">
        <v>215</v>
      </c>
    </row>
    <row r="2" spans="1:28" ht="37.5">
      <c r="A2" s="11" t="s">
        <v>69</v>
      </c>
      <c r="B2" s="11" t="s">
        <v>70</v>
      </c>
      <c r="C2" s="12">
        <v>46130</v>
      </c>
      <c r="D2" s="11" t="s">
        <v>71</v>
      </c>
      <c r="E2" s="11" t="s">
        <v>216</v>
      </c>
      <c r="F2" s="11" t="s">
        <v>217</v>
      </c>
      <c r="G2" s="11" t="s">
        <v>218</v>
      </c>
      <c r="H2" s="11" t="s">
        <v>219</v>
      </c>
      <c r="I2" s="11" t="s">
        <v>72</v>
      </c>
      <c r="J2" s="11" t="s">
        <v>75</v>
      </c>
      <c r="K2" s="11" t="s">
        <v>74</v>
      </c>
      <c r="L2" s="11"/>
      <c r="M2" s="11"/>
      <c r="N2" s="11" t="s">
        <v>76</v>
      </c>
      <c r="O2" s="11" t="s">
        <v>220</v>
      </c>
      <c r="P2" s="11" t="s">
        <v>221</v>
      </c>
      <c r="Q2" s="11" t="s">
        <v>222</v>
      </c>
      <c r="R2" s="11" t="s">
        <v>223</v>
      </c>
      <c r="S2" s="11" t="s">
        <v>224</v>
      </c>
      <c r="T2" s="11" t="s">
        <v>225</v>
      </c>
      <c r="U2" s="11" t="s">
        <v>226</v>
      </c>
      <c r="V2" s="11" t="s">
        <v>226</v>
      </c>
      <c r="W2" s="11" t="s">
        <v>74</v>
      </c>
      <c r="X2" s="11" t="s">
        <v>227</v>
      </c>
      <c r="Y2" s="11" t="s">
        <v>16</v>
      </c>
      <c r="Z2" s="11" t="s">
        <v>17</v>
      </c>
      <c r="AA2" s="11" t="s">
        <v>228</v>
      </c>
      <c r="AB2" s="11" t="s">
        <v>78</v>
      </c>
    </row>
    <row r="3" spans="1:28" ht="24.95">
      <c r="A3" s="14" t="s">
        <v>80</v>
      </c>
      <c r="B3" s="14" t="s">
        <v>81</v>
      </c>
      <c r="C3" s="15">
        <v>46134</v>
      </c>
      <c r="D3" s="14" t="s">
        <v>82</v>
      </c>
      <c r="E3" s="14" t="s">
        <v>229</v>
      </c>
      <c r="F3" s="14" t="s">
        <v>82</v>
      </c>
      <c r="G3" s="14" t="s">
        <v>230</v>
      </c>
      <c r="H3" s="14" t="s">
        <v>231</v>
      </c>
      <c r="I3" s="14" t="s">
        <v>83</v>
      </c>
      <c r="J3" s="14" t="s">
        <v>75</v>
      </c>
      <c r="K3" s="14" t="s">
        <v>74</v>
      </c>
      <c r="L3" s="14"/>
      <c r="M3" s="14"/>
      <c r="N3" s="14" t="s">
        <v>84</v>
      </c>
      <c r="O3" s="14" t="s">
        <v>232</v>
      </c>
      <c r="P3" s="14" t="s">
        <v>233</v>
      </c>
      <c r="Q3" s="14" t="s">
        <v>234</v>
      </c>
      <c r="R3" s="14" t="s">
        <v>223</v>
      </c>
      <c r="S3" s="14" t="s">
        <v>235</v>
      </c>
      <c r="T3" s="14" t="s">
        <v>236</v>
      </c>
      <c r="U3" s="14" t="s">
        <v>226</v>
      </c>
      <c r="V3" s="14" t="s">
        <v>237</v>
      </c>
      <c r="W3" s="14" t="s">
        <v>74</v>
      </c>
      <c r="X3" s="14" t="s">
        <v>227</v>
      </c>
      <c r="Y3" s="14" t="s">
        <v>238</v>
      </c>
      <c r="Z3" s="14" t="s">
        <v>17</v>
      </c>
      <c r="AA3" s="14" t="s">
        <v>239</v>
      </c>
      <c r="AB3" s="14" t="s">
        <v>86</v>
      </c>
    </row>
    <row r="4" spans="1:28" ht="37.5">
      <c r="A4" s="11" t="s">
        <v>88</v>
      </c>
      <c r="B4" s="11" t="s">
        <v>89</v>
      </c>
      <c r="C4" s="12">
        <v>46140</v>
      </c>
      <c r="D4" s="11" t="s">
        <v>90</v>
      </c>
      <c r="E4" s="11" t="s">
        <v>240</v>
      </c>
      <c r="F4" s="11" t="s">
        <v>119</v>
      </c>
      <c r="G4" s="11" t="s">
        <v>241</v>
      </c>
      <c r="H4" s="11" t="s">
        <v>242</v>
      </c>
      <c r="I4" s="11" t="s">
        <v>91</v>
      </c>
      <c r="J4" s="11" t="s">
        <v>75</v>
      </c>
      <c r="K4" s="11" t="s">
        <v>93</v>
      </c>
      <c r="L4" s="11" t="s">
        <v>80</v>
      </c>
      <c r="M4" s="11" t="s">
        <v>243</v>
      </c>
      <c r="N4" s="11" t="s">
        <v>92</v>
      </c>
      <c r="O4" s="11" t="s">
        <v>232</v>
      </c>
      <c r="P4" s="11" t="s">
        <v>233</v>
      </c>
      <c r="Q4" s="11" t="s">
        <v>244</v>
      </c>
      <c r="R4" s="11" t="s">
        <v>223</v>
      </c>
      <c r="S4" s="11" t="s">
        <v>245</v>
      </c>
      <c r="T4" s="11" t="s">
        <v>246</v>
      </c>
      <c r="U4" s="11" t="s">
        <v>226</v>
      </c>
      <c r="V4" s="11" t="s">
        <v>237</v>
      </c>
      <c r="W4" s="11" t="s">
        <v>74</v>
      </c>
      <c r="X4" s="11" t="s">
        <v>227</v>
      </c>
      <c r="Y4" s="11" t="s">
        <v>238</v>
      </c>
      <c r="Z4" s="11" t="s">
        <v>17</v>
      </c>
      <c r="AA4" s="11" t="s">
        <v>247</v>
      </c>
      <c r="AB4" s="11" t="s">
        <v>94</v>
      </c>
    </row>
    <row r="5" spans="1:28" ht="24.95">
      <c r="A5" s="14" t="s">
        <v>96</v>
      </c>
      <c r="B5" s="14" t="s">
        <v>97</v>
      </c>
      <c r="C5" s="15">
        <v>46146</v>
      </c>
      <c r="D5" s="14" t="s">
        <v>98</v>
      </c>
      <c r="E5" s="14" t="s">
        <v>248</v>
      </c>
      <c r="F5" s="14" t="s">
        <v>98</v>
      </c>
      <c r="G5" s="14" t="s">
        <v>249</v>
      </c>
      <c r="H5" s="14" t="s">
        <v>250</v>
      </c>
      <c r="I5" s="14" t="s">
        <v>99</v>
      </c>
      <c r="J5" s="14" t="s">
        <v>75</v>
      </c>
      <c r="K5" s="14" t="s">
        <v>74</v>
      </c>
      <c r="L5" s="14"/>
      <c r="M5" s="14"/>
      <c r="N5" s="14" t="s">
        <v>100</v>
      </c>
      <c r="O5" s="14" t="s">
        <v>251</v>
      </c>
      <c r="P5" s="14" t="s">
        <v>252</v>
      </c>
      <c r="Q5" s="14" t="s">
        <v>253</v>
      </c>
      <c r="R5" s="14" t="s">
        <v>223</v>
      </c>
      <c r="S5" s="14" t="s">
        <v>254</v>
      </c>
      <c r="T5" s="14" t="s">
        <v>255</v>
      </c>
      <c r="U5" s="14" t="s">
        <v>256</v>
      </c>
      <c r="V5" s="14" t="s">
        <v>226</v>
      </c>
      <c r="W5" s="14" t="s">
        <v>257</v>
      </c>
      <c r="X5" s="14" t="s">
        <v>227</v>
      </c>
      <c r="Y5" s="14" t="s">
        <v>18</v>
      </c>
      <c r="Z5" s="14" t="s">
        <v>24</v>
      </c>
      <c r="AA5" s="14" t="s">
        <v>258</v>
      </c>
      <c r="AB5" s="14" t="s">
        <v>102</v>
      </c>
    </row>
    <row r="6" spans="1:28" ht="24.95">
      <c r="A6" s="11" t="s">
        <v>104</v>
      </c>
      <c r="B6" s="11" t="s">
        <v>81</v>
      </c>
      <c r="C6" s="12">
        <v>46148</v>
      </c>
      <c r="D6" s="11" t="s">
        <v>105</v>
      </c>
      <c r="E6" s="11" t="s">
        <v>259</v>
      </c>
      <c r="F6" s="11" t="s">
        <v>98</v>
      </c>
      <c r="G6" s="11" t="s">
        <v>260</v>
      </c>
      <c r="H6" s="11" t="s">
        <v>261</v>
      </c>
      <c r="I6" s="11" t="s">
        <v>106</v>
      </c>
      <c r="J6" s="11" t="s">
        <v>75</v>
      </c>
      <c r="K6" s="11" t="s">
        <v>93</v>
      </c>
      <c r="L6" s="11" t="s">
        <v>96</v>
      </c>
      <c r="M6" s="11" t="s">
        <v>262</v>
      </c>
      <c r="N6" s="11" t="s">
        <v>107</v>
      </c>
      <c r="O6" s="11" t="s">
        <v>232</v>
      </c>
      <c r="P6" s="11" t="s">
        <v>263</v>
      </c>
      <c r="Q6" s="11" t="s">
        <v>264</v>
      </c>
      <c r="R6" s="11" t="s">
        <v>223</v>
      </c>
      <c r="S6" s="11" t="s">
        <v>265</v>
      </c>
      <c r="T6" s="11" t="s">
        <v>266</v>
      </c>
      <c r="U6" s="11" t="s">
        <v>226</v>
      </c>
      <c r="V6" s="11" t="s">
        <v>267</v>
      </c>
      <c r="W6" s="11" t="s">
        <v>74</v>
      </c>
      <c r="X6" s="11" t="s">
        <v>227</v>
      </c>
      <c r="Y6" s="11" t="s">
        <v>238</v>
      </c>
      <c r="Z6" s="11" t="s">
        <v>18</v>
      </c>
      <c r="AA6" s="11" t="s">
        <v>268</v>
      </c>
      <c r="AB6" s="11" t="s">
        <v>109</v>
      </c>
    </row>
    <row r="7" spans="1:28" ht="37.5">
      <c r="A7" s="14" t="s">
        <v>112</v>
      </c>
      <c r="B7" s="14" t="s">
        <v>97</v>
      </c>
      <c r="C7" s="15">
        <v>46161</v>
      </c>
      <c r="D7" s="14" t="s">
        <v>113</v>
      </c>
      <c r="E7" s="14" t="s">
        <v>269</v>
      </c>
      <c r="F7" s="14" t="s">
        <v>270</v>
      </c>
      <c r="G7" s="14" t="s">
        <v>271</v>
      </c>
      <c r="H7" s="14" t="s">
        <v>272</v>
      </c>
      <c r="I7" s="14" t="s">
        <v>83</v>
      </c>
      <c r="J7" s="14" t="s">
        <v>75</v>
      </c>
      <c r="K7" s="14" t="s">
        <v>93</v>
      </c>
      <c r="L7" s="14" t="s">
        <v>96</v>
      </c>
      <c r="M7" s="14" t="s">
        <v>273</v>
      </c>
      <c r="N7" s="14" t="s">
        <v>114</v>
      </c>
      <c r="O7" s="14" t="s">
        <v>274</v>
      </c>
      <c r="P7" s="14" t="s">
        <v>275</v>
      </c>
      <c r="Q7" s="14" t="s">
        <v>276</v>
      </c>
      <c r="R7" s="14" t="s">
        <v>223</v>
      </c>
      <c r="S7" s="14" t="s">
        <v>277</v>
      </c>
      <c r="T7" s="14" t="s">
        <v>278</v>
      </c>
      <c r="U7" s="14" t="s">
        <v>226</v>
      </c>
      <c r="V7" s="14" t="s">
        <v>267</v>
      </c>
      <c r="W7" s="14" t="s">
        <v>279</v>
      </c>
      <c r="X7" s="14" t="s">
        <v>227</v>
      </c>
      <c r="Y7" s="14" t="s">
        <v>238</v>
      </c>
      <c r="Z7" s="14" t="s">
        <v>18</v>
      </c>
      <c r="AA7" s="14" t="s">
        <v>280</v>
      </c>
      <c r="AB7" s="14" t="s">
        <v>116</v>
      </c>
    </row>
    <row r="8" spans="1:28" ht="24.95">
      <c r="A8" s="11" t="s">
        <v>118</v>
      </c>
      <c r="B8" s="11" t="s">
        <v>89</v>
      </c>
      <c r="C8" s="12">
        <v>46168</v>
      </c>
      <c r="D8" s="11" t="s">
        <v>119</v>
      </c>
      <c r="E8" s="11" t="s">
        <v>281</v>
      </c>
      <c r="F8" s="11" t="s">
        <v>119</v>
      </c>
      <c r="G8" s="11" t="s">
        <v>282</v>
      </c>
      <c r="H8" s="11" t="s">
        <v>283</v>
      </c>
      <c r="I8" s="11" t="s">
        <v>91</v>
      </c>
      <c r="J8" s="11" t="s">
        <v>75</v>
      </c>
      <c r="K8" s="11" t="s">
        <v>93</v>
      </c>
      <c r="L8" s="11" t="s">
        <v>88</v>
      </c>
      <c r="M8" s="11" t="s">
        <v>284</v>
      </c>
      <c r="N8" s="11" t="s">
        <v>120</v>
      </c>
      <c r="O8" s="11" t="s">
        <v>285</v>
      </c>
      <c r="P8" s="11" t="s">
        <v>286</v>
      </c>
      <c r="Q8" s="11" t="s">
        <v>287</v>
      </c>
      <c r="R8" s="11" t="s">
        <v>223</v>
      </c>
      <c r="S8" s="11" t="s">
        <v>288</v>
      </c>
      <c r="T8" s="11" t="s">
        <v>289</v>
      </c>
      <c r="U8" s="11" t="s">
        <v>226</v>
      </c>
      <c r="V8" s="11" t="s">
        <v>226</v>
      </c>
      <c r="W8" s="11" t="s">
        <v>74</v>
      </c>
      <c r="X8" s="11" t="s">
        <v>227</v>
      </c>
      <c r="Y8" s="11" t="s">
        <v>16</v>
      </c>
      <c r="Z8" s="11" t="s">
        <v>17</v>
      </c>
      <c r="AA8" s="11" t="s">
        <v>290</v>
      </c>
      <c r="AB8" s="11" t="s">
        <v>121</v>
      </c>
    </row>
    <row r="9" spans="1:28" ht="37.5">
      <c r="A9" s="14" t="s">
        <v>122</v>
      </c>
      <c r="B9" s="14" t="s">
        <v>89</v>
      </c>
      <c r="C9" s="15">
        <v>46168</v>
      </c>
      <c r="D9" s="14" t="s">
        <v>123</v>
      </c>
      <c r="E9" s="14" t="s">
        <v>291</v>
      </c>
      <c r="F9" s="14" t="s">
        <v>292</v>
      </c>
      <c r="G9" s="14" t="s">
        <v>293</v>
      </c>
      <c r="H9" s="14" t="s">
        <v>294</v>
      </c>
      <c r="I9" s="14" t="s">
        <v>91</v>
      </c>
      <c r="J9" s="14" t="s">
        <v>75</v>
      </c>
      <c r="K9" s="14" t="s">
        <v>74</v>
      </c>
      <c r="L9" s="14"/>
      <c r="M9" s="14"/>
      <c r="N9" s="14" t="s">
        <v>124</v>
      </c>
      <c r="O9" s="14" t="s">
        <v>295</v>
      </c>
      <c r="P9" s="14" t="s">
        <v>296</v>
      </c>
      <c r="Q9" s="14" t="s">
        <v>297</v>
      </c>
      <c r="R9" s="14" t="s">
        <v>298</v>
      </c>
      <c r="S9" s="14" t="s">
        <v>299</v>
      </c>
      <c r="T9" s="14" t="s">
        <v>300</v>
      </c>
      <c r="U9" s="14" t="s">
        <v>267</v>
      </c>
      <c r="V9" s="14" t="s">
        <v>267</v>
      </c>
      <c r="W9" s="14" t="s">
        <v>74</v>
      </c>
      <c r="X9" s="14" t="s">
        <v>301</v>
      </c>
      <c r="Y9" s="14" t="s">
        <v>16</v>
      </c>
      <c r="Z9" s="14" t="s">
        <v>18</v>
      </c>
      <c r="AA9" s="14" t="s">
        <v>302</v>
      </c>
      <c r="AB9" s="14" t="s">
        <v>126</v>
      </c>
    </row>
    <row r="10" spans="1:28" ht="37.5">
      <c r="A10" s="11" t="s">
        <v>129</v>
      </c>
      <c r="B10" s="11" t="s">
        <v>97</v>
      </c>
      <c r="C10" s="12">
        <v>46181</v>
      </c>
      <c r="D10" s="11" t="s">
        <v>98</v>
      </c>
      <c r="E10" s="11" t="s">
        <v>303</v>
      </c>
      <c r="F10" s="11" t="s">
        <v>98</v>
      </c>
      <c r="G10" s="11" t="s">
        <v>304</v>
      </c>
      <c r="H10" s="11" t="s">
        <v>305</v>
      </c>
      <c r="I10" s="11" t="s">
        <v>99</v>
      </c>
      <c r="J10" s="11" t="s">
        <v>75</v>
      </c>
      <c r="K10" s="11" t="s">
        <v>73</v>
      </c>
      <c r="L10" s="11" t="s">
        <v>132</v>
      </c>
      <c r="M10" s="11" t="s">
        <v>306</v>
      </c>
      <c r="N10" s="11" t="s">
        <v>130</v>
      </c>
      <c r="O10" s="11" t="s">
        <v>307</v>
      </c>
      <c r="P10" s="11" t="s">
        <v>275</v>
      </c>
      <c r="Q10" s="11" t="s">
        <v>308</v>
      </c>
      <c r="R10" s="11" t="s">
        <v>223</v>
      </c>
      <c r="S10" s="11" t="s">
        <v>309</v>
      </c>
      <c r="T10" s="11" t="s">
        <v>310</v>
      </c>
      <c r="U10" s="11" t="s">
        <v>226</v>
      </c>
      <c r="V10" s="11" t="s">
        <v>226</v>
      </c>
      <c r="W10" s="11" t="s">
        <v>74</v>
      </c>
      <c r="X10" s="11" t="s">
        <v>227</v>
      </c>
      <c r="Y10" s="11" t="s">
        <v>238</v>
      </c>
      <c r="Z10" s="11" t="s">
        <v>17</v>
      </c>
      <c r="AA10" s="11" t="s">
        <v>311</v>
      </c>
      <c r="AB10" s="11" t="s">
        <v>133</v>
      </c>
    </row>
    <row r="11" spans="1:28" ht="24.95">
      <c r="A11" s="14" t="s">
        <v>135</v>
      </c>
      <c r="B11" s="14" t="s">
        <v>81</v>
      </c>
      <c r="C11" s="15">
        <v>46190</v>
      </c>
      <c r="D11" s="14" t="s">
        <v>105</v>
      </c>
      <c r="E11" s="14" t="s">
        <v>312</v>
      </c>
      <c r="F11" s="14" t="s">
        <v>313</v>
      </c>
      <c r="G11" s="14" t="s">
        <v>314</v>
      </c>
      <c r="H11" s="14" t="s">
        <v>315</v>
      </c>
      <c r="I11" s="14" t="s">
        <v>106</v>
      </c>
      <c r="J11" s="14" t="s">
        <v>75</v>
      </c>
      <c r="K11" s="14" t="s">
        <v>73</v>
      </c>
      <c r="L11" s="14" t="s">
        <v>104</v>
      </c>
      <c r="M11" s="14" t="s">
        <v>316</v>
      </c>
      <c r="N11" s="14" t="s">
        <v>136</v>
      </c>
      <c r="O11" s="14" t="s">
        <v>317</v>
      </c>
      <c r="P11" s="14" t="s">
        <v>318</v>
      </c>
      <c r="Q11" s="14" t="s">
        <v>319</v>
      </c>
      <c r="R11" s="14" t="s">
        <v>223</v>
      </c>
      <c r="S11" s="14" t="s">
        <v>320</v>
      </c>
      <c r="T11" s="14" t="s">
        <v>321</v>
      </c>
      <c r="U11" s="14" t="s">
        <v>226</v>
      </c>
      <c r="V11" s="14" t="s">
        <v>267</v>
      </c>
      <c r="W11" s="14" t="s">
        <v>74</v>
      </c>
      <c r="X11" s="14" t="s">
        <v>227</v>
      </c>
      <c r="Y11" s="14" t="s">
        <v>238</v>
      </c>
      <c r="Z11" s="14" t="s">
        <v>18</v>
      </c>
      <c r="AA11" s="14" t="s">
        <v>322</v>
      </c>
      <c r="AB11" s="14" t="s">
        <v>138</v>
      </c>
    </row>
    <row r="12" spans="1:28" ht="24.95">
      <c r="A12" s="11" t="s">
        <v>140</v>
      </c>
      <c r="B12" s="11" t="s">
        <v>81</v>
      </c>
      <c r="C12" s="12">
        <v>46232</v>
      </c>
      <c r="D12" s="11" t="s">
        <v>105</v>
      </c>
      <c r="E12" s="11" t="s">
        <v>323</v>
      </c>
      <c r="F12" s="11" t="s">
        <v>105</v>
      </c>
      <c r="G12" s="11" t="s">
        <v>324</v>
      </c>
      <c r="H12" s="11" t="s">
        <v>325</v>
      </c>
      <c r="I12" s="11" t="s">
        <v>141</v>
      </c>
      <c r="J12" s="11" t="s">
        <v>75</v>
      </c>
      <c r="K12" s="11" t="s">
        <v>74</v>
      </c>
      <c r="L12" s="11"/>
      <c r="M12" s="11"/>
      <c r="N12" s="11" t="s">
        <v>142</v>
      </c>
      <c r="O12" s="11" t="s">
        <v>326</v>
      </c>
      <c r="P12" s="11" t="s">
        <v>327</v>
      </c>
      <c r="Q12" s="11" t="s">
        <v>328</v>
      </c>
      <c r="R12" s="11" t="s">
        <v>223</v>
      </c>
      <c r="S12" s="11" t="s">
        <v>329</v>
      </c>
      <c r="T12" s="11" t="s">
        <v>330</v>
      </c>
      <c r="U12" s="11" t="s">
        <v>226</v>
      </c>
      <c r="V12" s="11" t="s">
        <v>267</v>
      </c>
      <c r="W12" s="11" t="s">
        <v>331</v>
      </c>
      <c r="X12" s="11" t="s">
        <v>227</v>
      </c>
      <c r="Y12" s="11" t="s">
        <v>238</v>
      </c>
      <c r="Z12" s="11" t="s">
        <v>18</v>
      </c>
      <c r="AA12" s="11" t="s">
        <v>332</v>
      </c>
      <c r="AB12" s="11" t="s">
        <v>144</v>
      </c>
    </row>
    <row r="13" spans="1:28" ht="27.75">
      <c r="A13" s="11" t="s">
        <v>140</v>
      </c>
      <c r="B13" s="14" t="s">
        <v>97</v>
      </c>
      <c r="C13" s="15">
        <v>46234</v>
      </c>
      <c r="D13" s="14" t="s">
        <v>98</v>
      </c>
      <c r="E13" s="14" t="s">
        <v>333</v>
      </c>
      <c r="F13" s="14" t="s">
        <v>334</v>
      </c>
      <c r="G13" s="14" t="s">
        <v>335</v>
      </c>
      <c r="H13" s="14" t="s">
        <v>336</v>
      </c>
      <c r="I13" s="14" t="s">
        <v>91</v>
      </c>
      <c r="J13" s="14" t="s">
        <v>75</v>
      </c>
      <c r="K13" s="14" t="s">
        <v>93</v>
      </c>
      <c r="L13" s="14" t="s">
        <v>96</v>
      </c>
      <c r="M13" s="14" t="s">
        <v>337</v>
      </c>
      <c r="N13" s="14" t="s">
        <v>147</v>
      </c>
      <c r="O13" s="14" t="s">
        <v>326</v>
      </c>
      <c r="P13" s="14" t="s">
        <v>275</v>
      </c>
      <c r="Q13" s="14" t="s">
        <v>338</v>
      </c>
      <c r="R13" s="14" t="s">
        <v>223</v>
      </c>
      <c r="S13" s="14" t="s">
        <v>339</v>
      </c>
      <c r="T13" s="14" t="s">
        <v>340</v>
      </c>
      <c r="U13" s="14" t="s">
        <v>226</v>
      </c>
      <c r="V13" s="14" t="s">
        <v>237</v>
      </c>
      <c r="W13" s="14" t="s">
        <v>74</v>
      </c>
      <c r="X13" s="14" t="s">
        <v>227</v>
      </c>
      <c r="Y13" s="14" t="s">
        <v>238</v>
      </c>
      <c r="Z13" s="14" t="s">
        <v>17</v>
      </c>
      <c r="AA13" s="14" t="s">
        <v>341</v>
      </c>
      <c r="AB13" s="14" t="s">
        <v>149</v>
      </c>
    </row>
    <row r="14" spans="1:28" ht="27.75">
      <c r="A14" s="11" t="s">
        <v>140</v>
      </c>
      <c r="B14" s="11" t="s">
        <v>97</v>
      </c>
      <c r="C14" s="12">
        <v>46234</v>
      </c>
      <c r="D14" s="11" t="s">
        <v>98</v>
      </c>
      <c r="E14" s="11" t="s">
        <v>342</v>
      </c>
      <c r="F14" s="11" t="s">
        <v>343</v>
      </c>
      <c r="G14" s="11" t="s">
        <v>344</v>
      </c>
      <c r="H14" s="11" t="s">
        <v>345</v>
      </c>
      <c r="I14" s="11" t="s">
        <v>152</v>
      </c>
      <c r="J14" s="11" t="s">
        <v>153</v>
      </c>
      <c r="K14" s="11" t="s">
        <v>73</v>
      </c>
      <c r="L14" s="11" t="s">
        <v>156</v>
      </c>
      <c r="M14" s="11" t="s">
        <v>346</v>
      </c>
      <c r="N14" s="11" t="s">
        <v>154</v>
      </c>
      <c r="O14" s="11" t="s">
        <v>347</v>
      </c>
      <c r="P14" s="11" t="s">
        <v>348</v>
      </c>
      <c r="Q14" s="11" t="s">
        <v>349</v>
      </c>
      <c r="R14" s="11" t="s">
        <v>223</v>
      </c>
      <c r="S14" s="11" t="s">
        <v>350</v>
      </c>
      <c r="T14" s="11" t="s">
        <v>340</v>
      </c>
      <c r="U14" s="11" t="s">
        <v>256</v>
      </c>
      <c r="V14" s="11" t="s">
        <v>226</v>
      </c>
      <c r="W14" s="11" t="s">
        <v>257</v>
      </c>
      <c r="X14" s="11" t="s">
        <v>227</v>
      </c>
      <c r="Y14" s="11" t="s">
        <v>18</v>
      </c>
      <c r="Z14" s="11" t="s">
        <v>24</v>
      </c>
      <c r="AA14" s="11" t="s">
        <v>351</v>
      </c>
      <c r="AB14" s="11" t="s">
        <v>157</v>
      </c>
    </row>
    <row r="15" spans="1:28" ht="24.95">
      <c r="A15" s="14" t="s">
        <v>159</v>
      </c>
      <c r="B15" s="14" t="s">
        <v>160</v>
      </c>
      <c r="C15" s="15">
        <v>46245</v>
      </c>
      <c r="D15" s="14" t="s">
        <v>161</v>
      </c>
      <c r="E15" s="14" t="s">
        <v>352</v>
      </c>
      <c r="F15" s="14" t="s">
        <v>161</v>
      </c>
      <c r="G15" s="14" t="s">
        <v>353</v>
      </c>
      <c r="H15" s="14" t="s">
        <v>354</v>
      </c>
      <c r="I15" s="14" t="s">
        <v>162</v>
      </c>
      <c r="J15" s="14" t="s">
        <v>75</v>
      </c>
      <c r="K15" s="14" t="s">
        <v>74</v>
      </c>
      <c r="L15" s="14"/>
      <c r="M15" s="14"/>
      <c r="N15" s="14" t="s">
        <v>163</v>
      </c>
      <c r="O15" s="14" t="s">
        <v>355</v>
      </c>
      <c r="P15" s="14" t="s">
        <v>356</v>
      </c>
      <c r="Q15" s="14" t="s">
        <v>357</v>
      </c>
      <c r="R15" s="14" t="s">
        <v>223</v>
      </c>
      <c r="S15" s="14" t="s">
        <v>358</v>
      </c>
      <c r="T15" s="14" t="s">
        <v>359</v>
      </c>
      <c r="U15" s="14" t="s">
        <v>267</v>
      </c>
      <c r="V15" s="14" t="s">
        <v>226</v>
      </c>
      <c r="W15" s="14" t="s">
        <v>74</v>
      </c>
      <c r="X15" s="14" t="s">
        <v>360</v>
      </c>
      <c r="Y15" s="14" t="s">
        <v>18</v>
      </c>
      <c r="Z15" s="14" t="s">
        <v>18</v>
      </c>
      <c r="AA15" s="14" t="s">
        <v>361</v>
      </c>
      <c r="AB15" s="14" t="s">
        <v>165</v>
      </c>
    </row>
    <row r="16" spans="1:28" ht="24.95">
      <c r="A16" s="11" t="s">
        <v>168</v>
      </c>
      <c r="B16" s="11" t="s">
        <v>89</v>
      </c>
      <c r="C16" s="12">
        <v>46253</v>
      </c>
      <c r="D16" s="11" t="s">
        <v>169</v>
      </c>
      <c r="E16" s="11" t="s">
        <v>362</v>
      </c>
      <c r="F16" s="11" t="s">
        <v>169</v>
      </c>
      <c r="G16" s="11" t="s">
        <v>363</v>
      </c>
      <c r="H16" s="11" t="s">
        <v>364</v>
      </c>
      <c r="I16" s="11" t="s">
        <v>99</v>
      </c>
      <c r="J16" s="11" t="s">
        <v>75</v>
      </c>
      <c r="K16" s="11" t="s">
        <v>74</v>
      </c>
      <c r="L16" s="11"/>
      <c r="M16" s="11"/>
      <c r="N16" s="11" t="s">
        <v>170</v>
      </c>
      <c r="O16" s="11" t="s">
        <v>365</v>
      </c>
      <c r="P16" s="11" t="s">
        <v>366</v>
      </c>
      <c r="Q16" s="11" t="s">
        <v>367</v>
      </c>
      <c r="R16" s="11" t="s">
        <v>223</v>
      </c>
      <c r="S16" s="11" t="s">
        <v>368</v>
      </c>
      <c r="T16" s="11" t="s">
        <v>369</v>
      </c>
      <c r="U16" s="11" t="s">
        <v>226</v>
      </c>
      <c r="V16" s="11" t="s">
        <v>267</v>
      </c>
      <c r="W16" s="11" t="s">
        <v>74</v>
      </c>
      <c r="X16" s="11" t="s">
        <v>227</v>
      </c>
      <c r="Y16" s="11" t="s">
        <v>238</v>
      </c>
      <c r="Z16" s="11" t="s">
        <v>18</v>
      </c>
      <c r="AA16" s="11" t="s">
        <v>370</v>
      </c>
      <c r="AB16" s="11" t="s">
        <v>172</v>
      </c>
    </row>
    <row r="17" spans="1:500" ht="54.75">
      <c r="A17" s="14" t="s">
        <v>174</v>
      </c>
      <c r="B17" s="14" t="s">
        <v>160</v>
      </c>
      <c r="C17" s="15">
        <v>46275</v>
      </c>
      <c r="D17" s="14" t="s">
        <v>175</v>
      </c>
      <c r="E17" s="14" t="s">
        <v>371</v>
      </c>
      <c r="F17" s="14" t="s">
        <v>175</v>
      </c>
      <c r="G17" s="14" t="s">
        <v>372</v>
      </c>
      <c r="H17" s="14" t="s">
        <v>373</v>
      </c>
      <c r="I17" s="14" t="s">
        <v>176</v>
      </c>
      <c r="J17" s="14" t="s">
        <v>75</v>
      </c>
      <c r="K17" s="14" t="s">
        <v>93</v>
      </c>
      <c r="L17" s="14" t="s">
        <v>69</v>
      </c>
      <c r="M17" s="14" t="s">
        <v>374</v>
      </c>
      <c r="N17" s="14" t="s">
        <v>375</v>
      </c>
      <c r="O17" s="14" t="s">
        <v>376</v>
      </c>
      <c r="P17" s="14" t="s">
        <v>377</v>
      </c>
      <c r="Q17" s="14" t="s">
        <v>378</v>
      </c>
      <c r="R17" s="14" t="s">
        <v>223</v>
      </c>
      <c r="S17" s="14" t="s">
        <v>379</v>
      </c>
      <c r="T17" s="14" t="s">
        <v>380</v>
      </c>
      <c r="U17" s="14" t="s">
        <v>226</v>
      </c>
      <c r="V17" s="14" t="s">
        <v>226</v>
      </c>
      <c r="W17" s="14" t="s">
        <v>74</v>
      </c>
      <c r="X17" s="14" t="s">
        <v>381</v>
      </c>
      <c r="Y17" s="14" t="s">
        <v>18</v>
      </c>
      <c r="Z17" s="14" t="s">
        <v>17</v>
      </c>
      <c r="AA17" s="14" t="s">
        <v>382</v>
      </c>
      <c r="AB17" s="14" t="s">
        <v>179</v>
      </c>
    </row>
    <row r="18" spans="1:500" ht="50.1">
      <c r="A18" s="11" t="s">
        <v>182</v>
      </c>
      <c r="B18" s="11" t="s">
        <v>81</v>
      </c>
      <c r="C18" s="12">
        <v>46280</v>
      </c>
      <c r="D18" s="11" t="s">
        <v>82</v>
      </c>
      <c r="E18" s="11" t="s">
        <v>383</v>
      </c>
      <c r="F18" s="11" t="s">
        <v>384</v>
      </c>
      <c r="G18" s="11" t="s">
        <v>385</v>
      </c>
      <c r="H18" s="11" t="s">
        <v>386</v>
      </c>
      <c r="I18" s="11" t="s">
        <v>72</v>
      </c>
      <c r="J18" s="11" t="s">
        <v>75</v>
      </c>
      <c r="K18" s="11" t="s">
        <v>93</v>
      </c>
      <c r="L18" s="11" t="s">
        <v>186</v>
      </c>
      <c r="M18" s="11" t="s">
        <v>387</v>
      </c>
      <c r="N18" s="11" t="s">
        <v>184</v>
      </c>
      <c r="O18" s="11" t="s">
        <v>388</v>
      </c>
      <c r="P18" s="11" t="s">
        <v>389</v>
      </c>
      <c r="Q18" s="11" t="s">
        <v>390</v>
      </c>
      <c r="R18" s="11" t="s">
        <v>223</v>
      </c>
      <c r="S18" s="11" t="s">
        <v>391</v>
      </c>
      <c r="T18" s="11" t="s">
        <v>392</v>
      </c>
      <c r="U18" s="11" t="s">
        <v>226</v>
      </c>
      <c r="V18" s="11" t="s">
        <v>226</v>
      </c>
      <c r="W18" s="11" t="s">
        <v>74</v>
      </c>
      <c r="X18" s="11" t="s">
        <v>393</v>
      </c>
      <c r="Y18" s="11" t="s">
        <v>18</v>
      </c>
      <c r="Z18" s="11" t="s">
        <v>17</v>
      </c>
      <c r="AA18" s="11" t="s">
        <v>394</v>
      </c>
      <c r="AB18" s="11" t="s">
        <v>187</v>
      </c>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c r="DO18" s="17"/>
      <c r="DP18" s="17"/>
      <c r="DQ18" s="17"/>
      <c r="DR18" s="17"/>
      <c r="DS18" s="17"/>
      <c r="DT18" s="17"/>
      <c r="DU18" s="17"/>
      <c r="DV18" s="17"/>
      <c r="DW18" s="17"/>
      <c r="DX18" s="17"/>
      <c r="DY18" s="17"/>
      <c r="DZ18" s="17"/>
      <c r="EA18" s="17"/>
      <c r="EB18" s="17"/>
      <c r="EC18" s="17"/>
      <c r="ED18" s="17"/>
      <c r="EE18" s="17"/>
      <c r="EF18" s="17"/>
      <c r="EG18" s="17"/>
      <c r="EH18" s="17"/>
      <c r="EI18" s="17"/>
      <c r="EJ18" s="17"/>
      <c r="EK18" s="17"/>
      <c r="EL18" s="17"/>
      <c r="EM18" s="17"/>
      <c r="EN18" s="17"/>
      <c r="EO18" s="17"/>
      <c r="EP18" s="17"/>
      <c r="EQ18" s="17"/>
      <c r="ER18" s="17"/>
      <c r="ES18" s="17"/>
      <c r="ET18" s="17"/>
      <c r="EU18" s="17"/>
      <c r="EV18" s="17"/>
      <c r="EW18" s="17"/>
      <c r="EX18" s="17"/>
      <c r="EY18" s="17"/>
      <c r="EZ18" s="17"/>
      <c r="FA18" s="17"/>
      <c r="FB18" s="17"/>
      <c r="FC18" s="17"/>
      <c r="FD18" s="17"/>
      <c r="FE18" s="17"/>
      <c r="FF18" s="17"/>
      <c r="FG18" s="17"/>
      <c r="FH18" s="17"/>
      <c r="FI18" s="17"/>
      <c r="FJ18" s="17"/>
      <c r="FK18" s="17"/>
      <c r="FL18" s="17"/>
      <c r="FM18" s="17"/>
      <c r="FN18" s="17"/>
      <c r="FO18" s="17"/>
      <c r="FP18" s="17"/>
      <c r="FQ18" s="17"/>
      <c r="FR18" s="17"/>
      <c r="FS18" s="17"/>
      <c r="FT18" s="17"/>
      <c r="FU18" s="17"/>
      <c r="FV18" s="17"/>
      <c r="FW18" s="17"/>
      <c r="FX18" s="17"/>
      <c r="FY18" s="17"/>
      <c r="FZ18" s="17"/>
      <c r="GA18" s="17"/>
      <c r="GB18" s="17"/>
      <c r="GC18" s="17"/>
      <c r="GD18" s="17"/>
      <c r="GE18" s="17"/>
      <c r="GF18" s="17"/>
      <c r="GG18" s="17"/>
      <c r="GH18" s="17"/>
      <c r="GI18" s="17"/>
      <c r="GJ18" s="17"/>
      <c r="GK18" s="17"/>
      <c r="GL18" s="17"/>
      <c r="GM18" s="17"/>
      <c r="GN18" s="17"/>
      <c r="GO18" s="17"/>
      <c r="GP18" s="17"/>
      <c r="GQ18" s="17"/>
      <c r="GR18" s="17"/>
      <c r="GS18" s="17"/>
      <c r="GT18" s="17"/>
      <c r="GU18" s="17"/>
      <c r="GV18" s="17"/>
      <c r="GW18" s="17"/>
      <c r="GX18" s="17"/>
      <c r="GY18" s="17"/>
      <c r="GZ18" s="17"/>
      <c r="HA18" s="17"/>
      <c r="HB18" s="17"/>
      <c r="HC18" s="17"/>
      <c r="HD18" s="17"/>
      <c r="HE18" s="17"/>
      <c r="HF18" s="17"/>
      <c r="HG18" s="17"/>
      <c r="HH18" s="17"/>
      <c r="HI18" s="17"/>
      <c r="HJ18" s="17"/>
      <c r="HK18" s="17"/>
      <c r="HL18" s="17"/>
      <c r="HM18" s="17"/>
      <c r="HN18" s="17"/>
      <c r="HO18" s="17"/>
      <c r="HP18" s="17"/>
      <c r="HQ18" s="17"/>
      <c r="HR18" s="17"/>
      <c r="HS18" s="17"/>
      <c r="HT18" s="17"/>
      <c r="HU18" s="17"/>
      <c r="HV18" s="17"/>
      <c r="HW18" s="17"/>
      <c r="HX18" s="17"/>
      <c r="HY18" s="17"/>
      <c r="HZ18" s="17"/>
      <c r="IA18" s="17"/>
      <c r="IB18" s="17"/>
      <c r="IC18" s="17"/>
      <c r="ID18" s="17"/>
      <c r="IE18" s="17"/>
      <c r="IF18" s="17"/>
      <c r="IG18" s="17"/>
      <c r="IH18" s="17"/>
      <c r="II18" s="17"/>
      <c r="IJ18" s="17"/>
      <c r="IK18" s="17"/>
      <c r="IL18" s="17"/>
      <c r="IM18" s="17"/>
      <c r="IN18" s="17"/>
      <c r="IO18" s="17"/>
      <c r="IP18" s="17"/>
      <c r="IQ18" s="17"/>
      <c r="IR18" s="17"/>
      <c r="IS18" s="17"/>
      <c r="IT18" s="17"/>
      <c r="IU18" s="17"/>
      <c r="IV18" s="17"/>
      <c r="IW18" s="17"/>
      <c r="IX18" s="17"/>
      <c r="IY18" s="17"/>
      <c r="IZ18" s="17"/>
      <c r="JA18" s="17"/>
      <c r="JB18" s="17"/>
      <c r="JC18" s="17"/>
      <c r="JD18" s="17"/>
      <c r="JE18" s="17"/>
      <c r="JF18" s="17"/>
      <c r="JG18" s="17"/>
      <c r="JH18" s="17"/>
      <c r="JI18" s="17"/>
      <c r="JJ18" s="17"/>
      <c r="JK18" s="17"/>
      <c r="JL18" s="17"/>
      <c r="JM18" s="17"/>
      <c r="JN18" s="17"/>
      <c r="JO18" s="17"/>
      <c r="JP18" s="17"/>
      <c r="JQ18" s="17"/>
      <c r="JR18" s="17"/>
      <c r="JS18" s="17"/>
      <c r="JT18" s="17"/>
      <c r="JU18" s="17"/>
      <c r="JV18" s="17"/>
      <c r="JW18" s="17"/>
      <c r="JX18" s="17"/>
      <c r="JY18" s="17"/>
      <c r="JZ18" s="17"/>
      <c r="KA18" s="17"/>
      <c r="KB18" s="17"/>
      <c r="KC18" s="17"/>
      <c r="KD18" s="17"/>
      <c r="KE18" s="17"/>
      <c r="KF18" s="17"/>
      <c r="KG18" s="17"/>
      <c r="KH18" s="17"/>
      <c r="KI18" s="17"/>
      <c r="KJ18" s="17"/>
      <c r="KK18" s="17"/>
      <c r="KL18" s="17"/>
      <c r="KM18" s="17"/>
      <c r="KN18" s="17"/>
      <c r="KO18" s="17"/>
      <c r="KP18" s="17"/>
      <c r="KQ18" s="17"/>
      <c r="KR18" s="17"/>
      <c r="KS18" s="17"/>
      <c r="KT18" s="17"/>
      <c r="KU18" s="17"/>
      <c r="KV18" s="17"/>
      <c r="KW18" s="17"/>
      <c r="KX18" s="17"/>
      <c r="KY18" s="17"/>
      <c r="KZ18" s="17"/>
      <c r="LA18" s="17"/>
      <c r="LB18" s="17"/>
      <c r="LC18" s="17"/>
      <c r="LD18" s="17"/>
      <c r="LE18" s="17"/>
      <c r="LF18" s="17"/>
      <c r="LG18" s="17"/>
      <c r="LH18" s="17"/>
      <c r="LI18" s="17"/>
      <c r="LJ18" s="17"/>
      <c r="LK18" s="17"/>
      <c r="LL18" s="17"/>
      <c r="LM18" s="17"/>
      <c r="LN18" s="17"/>
      <c r="LO18" s="17"/>
      <c r="LP18" s="17"/>
      <c r="LQ18" s="17"/>
      <c r="LR18" s="17"/>
      <c r="LS18" s="17"/>
      <c r="LT18" s="17"/>
      <c r="LU18" s="17"/>
      <c r="LV18" s="17"/>
      <c r="LW18" s="17"/>
      <c r="LX18" s="17"/>
      <c r="LY18" s="17"/>
      <c r="LZ18" s="17"/>
      <c r="MA18" s="17"/>
      <c r="MB18" s="17"/>
      <c r="MC18" s="17"/>
      <c r="MD18" s="17"/>
      <c r="ME18" s="17"/>
      <c r="MF18" s="17"/>
      <c r="MG18" s="17"/>
      <c r="MH18" s="17"/>
      <c r="MI18" s="17"/>
      <c r="MJ18" s="17"/>
      <c r="MK18" s="17"/>
      <c r="ML18" s="17"/>
      <c r="MM18" s="17"/>
      <c r="MN18" s="17"/>
      <c r="MO18" s="17"/>
      <c r="MP18" s="17"/>
      <c r="MQ18" s="17"/>
      <c r="MR18" s="17"/>
      <c r="MS18" s="17"/>
      <c r="MT18" s="17"/>
      <c r="MU18" s="17"/>
      <c r="MV18" s="17"/>
      <c r="MW18" s="17"/>
      <c r="MX18" s="17"/>
      <c r="MY18" s="17"/>
      <c r="MZ18" s="17"/>
      <c r="NA18" s="17"/>
      <c r="NB18" s="17"/>
      <c r="NC18" s="17"/>
      <c r="ND18" s="17"/>
      <c r="NE18" s="17"/>
      <c r="NF18" s="17"/>
      <c r="NG18" s="17"/>
      <c r="NH18" s="17"/>
      <c r="NI18" s="17"/>
      <c r="NJ18" s="17"/>
      <c r="NK18" s="17"/>
      <c r="NL18" s="17"/>
      <c r="NM18" s="17"/>
      <c r="NN18" s="17"/>
      <c r="NO18" s="17"/>
      <c r="NP18" s="17"/>
      <c r="NQ18" s="17"/>
      <c r="NR18" s="17"/>
      <c r="NS18" s="17"/>
      <c r="NT18" s="17"/>
      <c r="NU18" s="17"/>
      <c r="NV18" s="17"/>
      <c r="NW18" s="17"/>
      <c r="NX18" s="17"/>
      <c r="NY18" s="17"/>
      <c r="NZ18" s="17"/>
      <c r="OA18" s="17"/>
      <c r="OB18" s="17"/>
      <c r="OC18" s="17"/>
      <c r="OD18" s="17"/>
      <c r="OE18" s="17"/>
      <c r="OF18" s="17"/>
      <c r="OG18" s="17"/>
      <c r="OH18" s="17"/>
      <c r="OI18" s="17"/>
      <c r="OJ18" s="17"/>
      <c r="OK18" s="17"/>
      <c r="OL18" s="17"/>
      <c r="OM18" s="17"/>
      <c r="ON18" s="17"/>
      <c r="OO18" s="17"/>
      <c r="OP18" s="17"/>
      <c r="OQ18" s="17"/>
      <c r="OR18" s="17"/>
      <c r="OS18" s="17"/>
      <c r="OT18" s="17"/>
      <c r="OU18" s="17"/>
      <c r="OV18" s="17"/>
      <c r="OW18" s="17"/>
      <c r="OX18" s="17"/>
      <c r="OY18" s="17"/>
      <c r="OZ18" s="17"/>
      <c r="PA18" s="17"/>
      <c r="PB18" s="17"/>
      <c r="PC18" s="17"/>
      <c r="PD18" s="17"/>
      <c r="PE18" s="17"/>
      <c r="PF18" s="17"/>
      <c r="PG18" s="17"/>
      <c r="PH18" s="17"/>
      <c r="PI18" s="17"/>
      <c r="PJ18" s="17"/>
      <c r="PK18" s="17"/>
      <c r="PL18" s="17"/>
      <c r="PM18" s="17"/>
      <c r="PN18" s="17"/>
      <c r="PO18" s="17"/>
      <c r="PP18" s="17"/>
      <c r="PQ18" s="17"/>
      <c r="PR18" s="17"/>
      <c r="PS18" s="17"/>
      <c r="PT18" s="17"/>
      <c r="PU18" s="17"/>
      <c r="PV18" s="17"/>
      <c r="PW18" s="17"/>
      <c r="PX18" s="17"/>
      <c r="PY18" s="17"/>
      <c r="PZ18" s="17"/>
      <c r="QA18" s="17"/>
      <c r="QB18" s="17"/>
      <c r="QC18" s="17"/>
      <c r="QD18" s="17"/>
      <c r="QE18" s="17"/>
      <c r="QF18" s="17"/>
      <c r="QG18" s="17"/>
      <c r="QH18" s="17"/>
      <c r="QI18" s="17"/>
      <c r="QJ18" s="17"/>
      <c r="QK18" s="17"/>
      <c r="QL18" s="17"/>
      <c r="QM18" s="17"/>
      <c r="QN18" s="17"/>
      <c r="QO18" s="17"/>
      <c r="QP18" s="17"/>
      <c r="QQ18" s="17"/>
      <c r="QR18" s="17"/>
      <c r="QS18" s="17"/>
      <c r="QT18" s="17"/>
      <c r="QU18" s="17"/>
      <c r="QV18" s="17"/>
      <c r="QW18" s="17"/>
      <c r="QX18" s="17"/>
      <c r="QY18" s="17"/>
      <c r="QZ18" s="17"/>
      <c r="RA18" s="17"/>
      <c r="RB18" s="17"/>
      <c r="RC18" s="17"/>
      <c r="RD18" s="17"/>
      <c r="RE18" s="17"/>
      <c r="RF18" s="17"/>
      <c r="RG18" s="17"/>
      <c r="RH18" s="17"/>
      <c r="RI18" s="17"/>
      <c r="RJ18" s="17"/>
      <c r="RK18" s="17"/>
      <c r="RL18" s="17"/>
      <c r="RM18" s="17"/>
      <c r="RN18" s="17"/>
      <c r="RO18" s="17"/>
      <c r="RP18" s="17"/>
      <c r="RQ18" s="17"/>
      <c r="RR18" s="17"/>
      <c r="RS18" s="17"/>
      <c r="RT18" s="17"/>
      <c r="RU18" s="17"/>
      <c r="RV18" s="17"/>
      <c r="RW18" s="17"/>
      <c r="RX18" s="17"/>
      <c r="RY18" s="17"/>
      <c r="RZ18" s="17"/>
      <c r="SA18" s="17"/>
      <c r="SB18" s="17"/>
      <c r="SC18" s="17"/>
      <c r="SD18" s="17"/>
      <c r="SE18" s="17"/>
      <c r="SF18" s="17"/>
    </row>
    <row r="19" spans="1:500" ht="83.25">
      <c r="A19" s="11" t="s">
        <v>395</v>
      </c>
      <c r="B19" s="11" t="s">
        <v>81</v>
      </c>
      <c r="C19" s="12">
        <v>46296</v>
      </c>
      <c r="D19" s="11" t="s">
        <v>82</v>
      </c>
      <c r="E19" s="11" t="s">
        <v>396</v>
      </c>
      <c r="F19" s="11" t="s">
        <v>397</v>
      </c>
      <c r="G19" s="11" t="s">
        <v>398</v>
      </c>
      <c r="H19" s="11" t="s">
        <v>261</v>
      </c>
      <c r="I19" s="11" t="s">
        <v>399</v>
      </c>
      <c r="J19" s="11" t="s">
        <v>75</v>
      </c>
      <c r="K19" s="11" t="s">
        <v>400</v>
      </c>
      <c r="L19" s="11"/>
      <c r="M19" s="11" t="s">
        <v>401</v>
      </c>
      <c r="N19" s="11" t="s">
        <v>402</v>
      </c>
      <c r="O19" s="11" t="s">
        <v>403</v>
      </c>
      <c r="P19" s="11" t="s">
        <v>404</v>
      </c>
      <c r="Q19" s="11" t="s">
        <v>405</v>
      </c>
      <c r="R19" s="11" t="s">
        <v>223</v>
      </c>
      <c r="S19" s="11" t="s">
        <v>406</v>
      </c>
      <c r="T19" s="11" t="s">
        <v>407</v>
      </c>
      <c r="U19" s="11" t="s">
        <v>267</v>
      </c>
      <c r="V19" s="11" t="s">
        <v>226</v>
      </c>
      <c r="W19" s="11" t="s">
        <v>257</v>
      </c>
      <c r="X19" s="11" t="s">
        <v>227</v>
      </c>
      <c r="Y19" s="11" t="s">
        <v>18</v>
      </c>
      <c r="Z19" s="11" t="s">
        <v>24</v>
      </c>
      <c r="AA19" s="11" t="s">
        <v>351</v>
      </c>
      <c r="AB19" s="11" t="s">
        <v>194</v>
      </c>
    </row>
  </sheetData>
  <conditionalFormatting sqref="Z2:Z19">
    <cfRule type="expression" dxfId="69" priority="1">
      <formula>Z2="Critical"</formula>
    </cfRule>
    <cfRule type="expression" dxfId="68" priority="2">
      <formula>Z2="High"</formula>
    </cfRule>
    <cfRule type="expression" dxfId="67" priority="3">
      <formula>Z2="Moderate"</formula>
    </cfRule>
    <cfRule type="expression" dxfId="66" priority="4">
      <formula>Z2="Low"</formula>
    </cfRule>
  </conditionalFormatting>
  <pageMargins left="0.7" right="0.7" top="0.75" bottom="0.75" header="0.3" footer="0.3"/>
  <pageSetup paperSize="9" orientation="portrait" horizontalDpi="4294967293"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9"/>
  <sheetViews>
    <sheetView tabSelected="1" topLeftCell="A12" workbookViewId="0">
      <selection activeCell="A14" sqref="A14:XFD14"/>
    </sheetView>
  </sheetViews>
  <sheetFormatPr defaultRowHeight="14.1"/>
  <cols>
    <col min="1" max="1" width="36" customWidth="1"/>
    <col min="2" max="2" width="12.75" customWidth="1"/>
    <col min="3" max="3" width="14" customWidth="1"/>
    <col min="4" max="4" width="20" customWidth="1"/>
    <col min="5" max="5" width="44" customWidth="1"/>
    <col min="6" max="6" width="22" customWidth="1"/>
    <col min="7" max="7" width="44" customWidth="1"/>
    <col min="8" max="8" width="34" customWidth="1"/>
    <col min="9" max="9" width="30" customWidth="1"/>
    <col min="10" max="10" width="15.625" customWidth="1"/>
    <col min="11" max="11" width="28.25" customWidth="1"/>
    <col min="12" max="12" width="38" customWidth="1"/>
    <col min="13" max="13" width="48" customWidth="1"/>
    <col min="14" max="14" width="32" customWidth="1"/>
    <col min="15" max="15" width="48" customWidth="1"/>
    <col min="16" max="16" width="62" customWidth="1"/>
    <col min="17" max="18" width="32" customWidth="1"/>
    <col min="19" max="19" width="60" customWidth="1"/>
    <col min="20" max="20" width="46" customWidth="1"/>
    <col min="21" max="21" width="28.875" customWidth="1"/>
    <col min="22" max="22" width="31.25" customWidth="1"/>
    <col min="23" max="23" width="24" customWidth="1"/>
    <col min="24" max="24" width="34" customWidth="1"/>
    <col min="25" max="25" width="12" customWidth="1"/>
    <col min="26" max="26" width="14" customWidth="1"/>
    <col min="27" max="27" width="60" customWidth="1"/>
    <col min="28" max="28" width="46" customWidth="1"/>
    <col min="29" max="29" width="15" customWidth="1"/>
  </cols>
  <sheetData>
    <row r="1" spans="1:29" ht="30.6" customHeight="1">
      <c r="A1" s="2" t="s">
        <v>47</v>
      </c>
      <c r="B1" s="2" t="s">
        <v>48</v>
      </c>
      <c r="C1" s="2" t="s">
        <v>195</v>
      </c>
      <c r="D1" s="2" t="s">
        <v>49</v>
      </c>
      <c r="E1" s="2" t="s">
        <v>196</v>
      </c>
      <c r="F1" s="2" t="s">
        <v>197</v>
      </c>
      <c r="G1" s="2" t="s">
        <v>198</v>
      </c>
      <c r="H1" s="2" t="s">
        <v>199</v>
      </c>
      <c r="I1" s="2" t="s">
        <v>51</v>
      </c>
      <c r="J1" s="2" t="s">
        <v>60</v>
      </c>
      <c r="K1" s="2" t="s">
        <v>200</v>
      </c>
      <c r="L1" s="2" t="s">
        <v>64</v>
      </c>
      <c r="M1" s="2" t="s">
        <v>201</v>
      </c>
      <c r="N1" s="2" t="s">
        <v>202</v>
      </c>
      <c r="O1" s="2" t="s">
        <v>203</v>
      </c>
      <c r="P1" s="2" t="s">
        <v>204</v>
      </c>
      <c r="Q1" s="2" t="s">
        <v>205</v>
      </c>
      <c r="R1" s="2" t="s">
        <v>206</v>
      </c>
      <c r="S1" s="2" t="s">
        <v>207</v>
      </c>
      <c r="T1" s="2" t="s">
        <v>208</v>
      </c>
      <c r="U1" s="2" t="s">
        <v>209</v>
      </c>
      <c r="V1" s="2" t="s">
        <v>210</v>
      </c>
      <c r="W1" s="2" t="s">
        <v>211</v>
      </c>
      <c r="X1" s="2" t="s">
        <v>212</v>
      </c>
      <c r="Y1" s="2" t="s">
        <v>213</v>
      </c>
      <c r="Z1" s="2" t="s">
        <v>13</v>
      </c>
      <c r="AA1" s="2" t="s">
        <v>214</v>
      </c>
      <c r="AB1" s="2" t="s">
        <v>215</v>
      </c>
      <c r="AC1" s="1" t="s">
        <v>408</v>
      </c>
    </row>
    <row r="2" spans="1:29" ht="37.5">
      <c r="A2" s="11" t="s">
        <v>69</v>
      </c>
      <c r="B2" s="11" t="s">
        <v>70</v>
      </c>
      <c r="C2" s="12">
        <v>46162</v>
      </c>
      <c r="D2" s="11" t="s">
        <v>409</v>
      </c>
      <c r="E2" s="11" t="s">
        <v>410</v>
      </c>
      <c r="F2" s="11" t="s">
        <v>217</v>
      </c>
      <c r="G2" s="11" t="s">
        <v>411</v>
      </c>
      <c r="H2" s="11" t="s">
        <v>219</v>
      </c>
      <c r="I2" s="11" t="s">
        <v>412</v>
      </c>
      <c r="J2" s="11" t="s">
        <v>75</v>
      </c>
      <c r="K2" s="11" t="s">
        <v>74</v>
      </c>
      <c r="L2" s="11"/>
      <c r="M2" s="11"/>
      <c r="N2" s="11" t="s">
        <v>77</v>
      </c>
      <c r="O2" s="11" t="s">
        <v>413</v>
      </c>
      <c r="P2" s="11" t="s">
        <v>414</v>
      </c>
      <c r="Q2" s="11" t="s">
        <v>415</v>
      </c>
      <c r="R2" s="11" t="s">
        <v>416</v>
      </c>
      <c r="S2" s="11" t="s">
        <v>417</v>
      </c>
      <c r="T2" s="11" t="s">
        <v>418</v>
      </c>
      <c r="U2" s="11" t="s">
        <v>267</v>
      </c>
      <c r="V2" s="11" t="s">
        <v>237</v>
      </c>
      <c r="W2" s="11" t="s">
        <v>74</v>
      </c>
      <c r="X2" s="11" t="s">
        <v>419</v>
      </c>
      <c r="Y2" s="11" t="s">
        <v>238</v>
      </c>
      <c r="Z2" s="11" t="s">
        <v>18</v>
      </c>
      <c r="AA2" s="11" t="s">
        <v>420</v>
      </c>
      <c r="AB2" s="11" t="s">
        <v>79</v>
      </c>
      <c r="AC2" s="18" t="str">
        <f>VLOOKUP(A2,'Alert Registry'!$A$2:$N$19,14,FALSE)</f>
        <v>↑1 level</v>
      </c>
    </row>
    <row r="3" spans="1:29" ht="37.5">
      <c r="A3" s="14" t="s">
        <v>80</v>
      </c>
      <c r="B3" s="14" t="s">
        <v>81</v>
      </c>
      <c r="C3" s="15">
        <v>46160</v>
      </c>
      <c r="D3" s="14" t="s">
        <v>82</v>
      </c>
      <c r="E3" s="14" t="s">
        <v>421</v>
      </c>
      <c r="F3" s="14" t="s">
        <v>82</v>
      </c>
      <c r="G3" s="14" t="s">
        <v>422</v>
      </c>
      <c r="H3" s="14" t="s">
        <v>423</v>
      </c>
      <c r="I3" s="14" t="s">
        <v>424</v>
      </c>
      <c r="J3" s="14" t="s">
        <v>75</v>
      </c>
      <c r="K3" s="14" t="s">
        <v>74</v>
      </c>
      <c r="L3" s="14"/>
      <c r="M3" s="14"/>
      <c r="N3" s="14" t="s">
        <v>85</v>
      </c>
      <c r="O3" s="14" t="s">
        <v>425</v>
      </c>
      <c r="P3" s="14" t="s">
        <v>426</v>
      </c>
      <c r="Q3" s="14" t="s">
        <v>427</v>
      </c>
      <c r="R3" s="14" t="s">
        <v>428</v>
      </c>
      <c r="S3" s="14" t="s">
        <v>429</v>
      </c>
      <c r="T3" s="14" t="s">
        <v>430</v>
      </c>
      <c r="U3" s="14" t="s">
        <v>267</v>
      </c>
      <c r="V3" s="14" t="s">
        <v>226</v>
      </c>
      <c r="W3" s="14" t="s">
        <v>74</v>
      </c>
      <c r="X3" s="14" t="s">
        <v>431</v>
      </c>
      <c r="Y3" s="14" t="s">
        <v>238</v>
      </c>
      <c r="Z3" s="14" t="s">
        <v>18</v>
      </c>
      <c r="AA3" s="14" t="s">
        <v>432</v>
      </c>
      <c r="AB3" s="14" t="s">
        <v>87</v>
      </c>
      <c r="AC3" s="18" t="str">
        <f>VLOOKUP(A3,'Alert Registry'!$A$2:$N$19,14,FALSE)</f>
        <v>↑1 level</v>
      </c>
    </row>
    <row r="4" spans="1:29" ht="37.5">
      <c r="A4" s="11" t="s">
        <v>88</v>
      </c>
      <c r="B4" s="11" t="s">
        <v>89</v>
      </c>
      <c r="C4" s="12"/>
      <c r="D4" s="11" t="s">
        <v>90</v>
      </c>
      <c r="E4" s="11" t="s">
        <v>240</v>
      </c>
      <c r="F4" s="11" t="s">
        <v>119</v>
      </c>
      <c r="G4" s="11" t="s">
        <v>241</v>
      </c>
      <c r="H4" s="11" t="s">
        <v>242</v>
      </c>
      <c r="I4" s="11" t="s">
        <v>91</v>
      </c>
      <c r="J4" s="11" t="s">
        <v>75</v>
      </c>
      <c r="K4" s="11" t="s">
        <v>93</v>
      </c>
      <c r="L4" s="11" t="s">
        <v>80</v>
      </c>
      <c r="M4" s="11" t="s">
        <v>243</v>
      </c>
      <c r="N4" s="11" t="s">
        <v>92</v>
      </c>
      <c r="O4" s="11" t="s">
        <v>232</v>
      </c>
      <c r="P4" s="11" t="s">
        <v>233</v>
      </c>
      <c r="Q4" s="11" t="s">
        <v>244</v>
      </c>
      <c r="R4" s="11" t="s">
        <v>223</v>
      </c>
      <c r="S4" s="11" t="s">
        <v>245</v>
      </c>
      <c r="T4" s="11" t="s">
        <v>246</v>
      </c>
      <c r="U4" s="11" t="s">
        <v>226</v>
      </c>
      <c r="V4" s="11" t="s">
        <v>237</v>
      </c>
      <c r="W4" s="11" t="s">
        <v>74</v>
      </c>
      <c r="X4" s="11" t="s">
        <v>433</v>
      </c>
      <c r="Y4" s="11" t="s">
        <v>238</v>
      </c>
      <c r="Z4" s="11" t="s">
        <v>17</v>
      </c>
      <c r="AA4" s="11" t="s">
        <v>434</v>
      </c>
      <c r="AB4" s="11" t="s">
        <v>94</v>
      </c>
      <c r="AC4" s="18" t="str">
        <f>VLOOKUP(A4,'Alert Registry'!$A$2:$N$19,14,FALSE)</f>
        <v>No change</v>
      </c>
    </row>
    <row r="5" spans="1:29" ht="37.5">
      <c r="A5" s="14" t="s">
        <v>96</v>
      </c>
      <c r="B5" s="14" t="s">
        <v>97</v>
      </c>
      <c r="C5" s="15">
        <v>46162</v>
      </c>
      <c r="D5" s="14" t="s">
        <v>98</v>
      </c>
      <c r="E5" s="14" t="s">
        <v>435</v>
      </c>
      <c r="F5" s="14" t="s">
        <v>98</v>
      </c>
      <c r="G5" s="14" t="s">
        <v>249</v>
      </c>
      <c r="H5" s="14" t="s">
        <v>250</v>
      </c>
      <c r="I5" s="14" t="s">
        <v>176</v>
      </c>
      <c r="J5" s="14" t="s">
        <v>75</v>
      </c>
      <c r="K5" s="14" t="s">
        <v>74</v>
      </c>
      <c r="L5" s="14"/>
      <c r="M5" s="14"/>
      <c r="N5" s="14" t="s">
        <v>101</v>
      </c>
      <c r="O5" s="14" t="s">
        <v>436</v>
      </c>
      <c r="P5" s="14" t="s">
        <v>437</v>
      </c>
      <c r="Q5" s="14" t="s">
        <v>438</v>
      </c>
      <c r="R5" s="14" t="s">
        <v>439</v>
      </c>
      <c r="S5" s="14" t="s">
        <v>440</v>
      </c>
      <c r="T5" s="14" t="s">
        <v>441</v>
      </c>
      <c r="U5" s="14" t="s">
        <v>267</v>
      </c>
      <c r="V5" s="14" t="s">
        <v>267</v>
      </c>
      <c r="W5" s="14" t="s">
        <v>257</v>
      </c>
      <c r="X5" s="14" t="s">
        <v>442</v>
      </c>
      <c r="Y5" s="14" t="s">
        <v>18</v>
      </c>
      <c r="Z5" s="14" t="s">
        <v>24</v>
      </c>
      <c r="AA5" s="14" t="s">
        <v>443</v>
      </c>
      <c r="AB5" s="14" t="s">
        <v>103</v>
      </c>
      <c r="AC5" s="18" t="str">
        <f>VLOOKUP(A5,'Alert Registry'!$A$2:$N$19,14,FALSE)</f>
        <v>No change</v>
      </c>
    </row>
    <row r="6" spans="1:29" ht="37.5">
      <c r="A6" s="11" t="s">
        <v>104</v>
      </c>
      <c r="B6" s="11" t="s">
        <v>81</v>
      </c>
      <c r="C6" s="12">
        <v>46161</v>
      </c>
      <c r="D6" s="11" t="s">
        <v>105</v>
      </c>
      <c r="E6" s="11" t="s">
        <v>444</v>
      </c>
      <c r="F6" s="11" t="s">
        <v>98</v>
      </c>
      <c r="G6" s="11" t="s">
        <v>445</v>
      </c>
      <c r="H6" s="11" t="s">
        <v>446</v>
      </c>
      <c r="I6" s="11" t="s">
        <v>447</v>
      </c>
      <c r="J6" s="11" t="s">
        <v>448</v>
      </c>
      <c r="K6" s="11" t="s">
        <v>93</v>
      </c>
      <c r="L6" s="11" t="s">
        <v>96</v>
      </c>
      <c r="M6" s="11" t="s">
        <v>449</v>
      </c>
      <c r="N6" s="11" t="s">
        <v>108</v>
      </c>
      <c r="O6" s="11" t="s">
        <v>450</v>
      </c>
      <c r="P6" s="11" t="s">
        <v>451</v>
      </c>
      <c r="Q6" s="11" t="s">
        <v>452</v>
      </c>
      <c r="R6" s="11" t="s">
        <v>453</v>
      </c>
      <c r="S6" s="11" t="s">
        <v>454</v>
      </c>
      <c r="T6" s="11" t="s">
        <v>455</v>
      </c>
      <c r="U6" s="11" t="s">
        <v>267</v>
      </c>
      <c r="V6" s="11" t="s">
        <v>226</v>
      </c>
      <c r="W6" s="11" t="s">
        <v>74</v>
      </c>
      <c r="X6" s="11" t="s">
        <v>456</v>
      </c>
      <c r="Y6" s="11" t="s">
        <v>18</v>
      </c>
      <c r="Z6" s="11" t="s">
        <v>18</v>
      </c>
      <c r="AA6" s="11" t="s">
        <v>457</v>
      </c>
      <c r="AB6" s="11" t="s">
        <v>110</v>
      </c>
      <c r="AC6" s="18" t="str">
        <f>VLOOKUP(A6,'Alert Registry'!$A$2:$N$19,14,FALSE)</f>
        <v>No change</v>
      </c>
    </row>
    <row r="7" spans="1:29" ht="37.5">
      <c r="A7" s="14" t="s">
        <v>112</v>
      </c>
      <c r="B7" s="14" t="s">
        <v>97</v>
      </c>
      <c r="C7" s="15">
        <v>46174</v>
      </c>
      <c r="D7" s="14" t="s">
        <v>113</v>
      </c>
      <c r="E7" s="14" t="s">
        <v>458</v>
      </c>
      <c r="F7" s="14" t="s">
        <v>270</v>
      </c>
      <c r="G7" s="14" t="s">
        <v>459</v>
      </c>
      <c r="H7" s="14" t="s">
        <v>460</v>
      </c>
      <c r="I7" s="14" t="s">
        <v>461</v>
      </c>
      <c r="J7" s="14" t="s">
        <v>75</v>
      </c>
      <c r="K7" s="14" t="s">
        <v>93</v>
      </c>
      <c r="L7" s="14" t="s">
        <v>96</v>
      </c>
      <c r="M7" s="14" t="s">
        <v>462</v>
      </c>
      <c r="N7" s="14" t="s">
        <v>115</v>
      </c>
      <c r="O7" s="14" t="s">
        <v>463</v>
      </c>
      <c r="P7" s="14" t="s">
        <v>464</v>
      </c>
      <c r="Q7" s="14" t="s">
        <v>465</v>
      </c>
      <c r="R7" s="14" t="s">
        <v>466</v>
      </c>
      <c r="S7" s="14" t="s">
        <v>467</v>
      </c>
      <c r="T7" s="14" t="s">
        <v>468</v>
      </c>
      <c r="U7" s="14" t="s">
        <v>267</v>
      </c>
      <c r="V7" s="14" t="s">
        <v>267</v>
      </c>
      <c r="W7" s="14" t="s">
        <v>279</v>
      </c>
      <c r="X7" s="14" t="s">
        <v>469</v>
      </c>
      <c r="Y7" s="14" t="s">
        <v>18</v>
      </c>
      <c r="Z7" s="14" t="s">
        <v>18</v>
      </c>
      <c r="AA7" s="14" t="s">
        <v>470</v>
      </c>
      <c r="AB7" s="14" t="s">
        <v>117</v>
      </c>
      <c r="AC7" s="18" t="str">
        <f>VLOOKUP(A7,'Alert Registry'!$A$2:$N$19,14,FALSE)</f>
        <v>No change</v>
      </c>
    </row>
    <row r="8" spans="1:29" ht="24.95">
      <c r="A8" s="11" t="s">
        <v>118</v>
      </c>
      <c r="B8" s="11" t="s">
        <v>89</v>
      </c>
      <c r="C8" s="12"/>
      <c r="D8" s="11" t="s">
        <v>119</v>
      </c>
      <c r="E8" s="11" t="s">
        <v>281</v>
      </c>
      <c r="F8" s="11" t="s">
        <v>119</v>
      </c>
      <c r="G8" s="11" t="s">
        <v>282</v>
      </c>
      <c r="H8" s="11" t="s">
        <v>283</v>
      </c>
      <c r="I8" s="11" t="s">
        <v>91</v>
      </c>
      <c r="J8" s="11" t="s">
        <v>75</v>
      </c>
      <c r="K8" s="11" t="s">
        <v>93</v>
      </c>
      <c r="L8" s="11" t="s">
        <v>88</v>
      </c>
      <c r="M8" s="11" t="s">
        <v>284</v>
      </c>
      <c r="N8" s="11" t="s">
        <v>120</v>
      </c>
      <c r="O8" s="11" t="s">
        <v>285</v>
      </c>
      <c r="P8" s="11" t="s">
        <v>286</v>
      </c>
      <c r="Q8" s="11" t="s">
        <v>287</v>
      </c>
      <c r="R8" s="11" t="s">
        <v>223</v>
      </c>
      <c r="S8" s="11" t="s">
        <v>288</v>
      </c>
      <c r="T8" s="11" t="s">
        <v>289</v>
      </c>
      <c r="U8" s="11" t="s">
        <v>226</v>
      </c>
      <c r="V8" s="11" t="s">
        <v>226</v>
      </c>
      <c r="W8" s="11" t="s">
        <v>74</v>
      </c>
      <c r="X8" s="11" t="s">
        <v>433</v>
      </c>
      <c r="Y8" s="11" t="s">
        <v>16</v>
      </c>
      <c r="Z8" s="11" t="s">
        <v>17</v>
      </c>
      <c r="AA8" s="11" t="s">
        <v>434</v>
      </c>
      <c r="AB8" s="11" t="s">
        <v>121</v>
      </c>
      <c r="AC8" s="18" t="str">
        <f>VLOOKUP(A8,'Alert Registry'!$A$2:$N$19,14,FALSE)</f>
        <v>No change</v>
      </c>
    </row>
    <row r="9" spans="1:29" ht="50.1">
      <c r="A9" s="14" t="s">
        <v>122</v>
      </c>
      <c r="B9" s="14" t="s">
        <v>89</v>
      </c>
      <c r="C9" s="15">
        <v>46190</v>
      </c>
      <c r="D9" s="14" t="s">
        <v>471</v>
      </c>
      <c r="E9" s="14" t="s">
        <v>472</v>
      </c>
      <c r="F9" s="14" t="s">
        <v>292</v>
      </c>
      <c r="G9" s="14" t="s">
        <v>473</v>
      </c>
      <c r="H9" s="14" t="s">
        <v>474</v>
      </c>
      <c r="I9" s="14" t="s">
        <v>475</v>
      </c>
      <c r="J9" s="14" t="s">
        <v>476</v>
      </c>
      <c r="K9" s="14" t="s">
        <v>74</v>
      </c>
      <c r="L9" s="14"/>
      <c r="M9" s="14"/>
      <c r="N9" s="14" t="s">
        <v>125</v>
      </c>
      <c r="O9" s="14" t="s">
        <v>477</v>
      </c>
      <c r="P9" s="14" t="s">
        <v>478</v>
      </c>
      <c r="Q9" s="14" t="s">
        <v>479</v>
      </c>
      <c r="R9" s="14" t="s">
        <v>480</v>
      </c>
      <c r="S9" s="14" t="s">
        <v>481</v>
      </c>
      <c r="T9" s="14" t="s">
        <v>482</v>
      </c>
      <c r="U9" s="14" t="s">
        <v>483</v>
      </c>
      <c r="V9" s="14" t="s">
        <v>483</v>
      </c>
      <c r="W9" s="14" t="s">
        <v>74</v>
      </c>
      <c r="X9" s="14" t="s">
        <v>484</v>
      </c>
      <c r="Y9" s="14" t="s">
        <v>238</v>
      </c>
      <c r="Z9" s="14" t="s">
        <v>24</v>
      </c>
      <c r="AA9" s="14" t="s">
        <v>485</v>
      </c>
      <c r="AB9" s="14" t="s">
        <v>127</v>
      </c>
      <c r="AC9" s="18" t="str">
        <f>VLOOKUP(A9,'Alert Registry'!$A$2:$N$19,14,FALSE)</f>
        <v>↑1 level</v>
      </c>
    </row>
    <row r="10" spans="1:29" ht="37.5">
      <c r="A10" s="11" t="s">
        <v>129</v>
      </c>
      <c r="B10" s="11" t="s">
        <v>97</v>
      </c>
      <c r="C10" s="12">
        <v>46192</v>
      </c>
      <c r="D10" s="11" t="s">
        <v>98</v>
      </c>
      <c r="E10" s="11" t="s">
        <v>486</v>
      </c>
      <c r="F10" s="11" t="s">
        <v>98</v>
      </c>
      <c r="G10" s="11" t="s">
        <v>304</v>
      </c>
      <c r="H10" s="11" t="s">
        <v>487</v>
      </c>
      <c r="I10" s="11" t="s">
        <v>488</v>
      </c>
      <c r="J10" s="11" t="s">
        <v>75</v>
      </c>
      <c r="K10" s="11" t="s">
        <v>73</v>
      </c>
      <c r="L10" s="11" t="s">
        <v>132</v>
      </c>
      <c r="M10" s="11" t="s">
        <v>489</v>
      </c>
      <c r="N10" s="11" t="s">
        <v>131</v>
      </c>
      <c r="O10" s="11" t="s">
        <v>490</v>
      </c>
      <c r="P10" s="11" t="s">
        <v>491</v>
      </c>
      <c r="Q10" s="11" t="s">
        <v>492</v>
      </c>
      <c r="R10" s="11" t="s">
        <v>493</v>
      </c>
      <c r="S10" s="11" t="s">
        <v>494</v>
      </c>
      <c r="T10" s="11" t="s">
        <v>495</v>
      </c>
      <c r="U10" s="11" t="s">
        <v>267</v>
      </c>
      <c r="V10" s="11" t="s">
        <v>267</v>
      </c>
      <c r="W10" s="11" t="s">
        <v>74</v>
      </c>
      <c r="X10" s="11" t="s">
        <v>496</v>
      </c>
      <c r="Y10" s="11" t="s">
        <v>18</v>
      </c>
      <c r="Z10" s="11" t="s">
        <v>18</v>
      </c>
      <c r="AA10" s="11" t="s">
        <v>497</v>
      </c>
      <c r="AB10" s="11" t="s">
        <v>134</v>
      </c>
      <c r="AC10" s="18" t="str">
        <f>VLOOKUP(A10,'Alert Registry'!$A$2:$N$19,14,FALSE)</f>
        <v>↑1 level</v>
      </c>
    </row>
    <row r="11" spans="1:29" ht="37.5">
      <c r="A11" s="14" t="s">
        <v>135</v>
      </c>
      <c r="B11" s="14" t="s">
        <v>81</v>
      </c>
      <c r="C11" s="15">
        <v>46204</v>
      </c>
      <c r="D11" s="14" t="s">
        <v>105</v>
      </c>
      <c r="E11" s="14" t="s">
        <v>498</v>
      </c>
      <c r="F11" s="14" t="s">
        <v>499</v>
      </c>
      <c r="G11" s="14" t="s">
        <v>500</v>
      </c>
      <c r="H11" s="14" t="s">
        <v>501</v>
      </c>
      <c r="I11" s="14" t="s">
        <v>106</v>
      </c>
      <c r="J11" s="14" t="s">
        <v>75</v>
      </c>
      <c r="K11" s="14" t="s">
        <v>73</v>
      </c>
      <c r="L11" s="14" t="s">
        <v>104</v>
      </c>
      <c r="M11" s="14" t="s">
        <v>502</v>
      </c>
      <c r="N11" s="14" t="s">
        <v>137</v>
      </c>
      <c r="O11" s="14" t="s">
        <v>503</v>
      </c>
      <c r="P11" s="14" t="s">
        <v>504</v>
      </c>
      <c r="Q11" s="14" t="s">
        <v>505</v>
      </c>
      <c r="R11" s="14" t="s">
        <v>506</v>
      </c>
      <c r="S11" s="14" t="s">
        <v>507</v>
      </c>
      <c r="T11" s="14" t="s">
        <v>508</v>
      </c>
      <c r="U11" s="14" t="s">
        <v>267</v>
      </c>
      <c r="V11" s="14" t="s">
        <v>267</v>
      </c>
      <c r="W11" s="14" t="s">
        <v>74</v>
      </c>
      <c r="X11" s="14" t="s">
        <v>509</v>
      </c>
      <c r="Y11" s="14" t="s">
        <v>18</v>
      </c>
      <c r="Z11" s="14" t="s">
        <v>18</v>
      </c>
      <c r="AA11" s="14" t="s">
        <v>510</v>
      </c>
      <c r="AB11" s="14" t="s">
        <v>139</v>
      </c>
      <c r="AC11" s="18" t="str">
        <f>VLOOKUP(A11,'Alert Registry'!$A$2:$N$19,14,FALSE)</f>
        <v>No change</v>
      </c>
    </row>
    <row r="12" spans="1:29" ht="37.5">
      <c r="A12" s="11" t="s">
        <v>140</v>
      </c>
      <c r="B12" s="11" t="s">
        <v>81</v>
      </c>
      <c r="C12" s="12">
        <v>46247</v>
      </c>
      <c r="D12" s="11" t="s">
        <v>105</v>
      </c>
      <c r="E12" s="11" t="s">
        <v>511</v>
      </c>
      <c r="F12" s="11" t="s">
        <v>105</v>
      </c>
      <c r="G12" s="11" t="s">
        <v>512</v>
      </c>
      <c r="H12" s="11" t="s">
        <v>513</v>
      </c>
      <c r="I12" s="11" t="s">
        <v>514</v>
      </c>
      <c r="J12" s="11" t="s">
        <v>75</v>
      </c>
      <c r="K12" s="11" t="s">
        <v>74</v>
      </c>
      <c r="L12" s="11"/>
      <c r="M12" s="11"/>
      <c r="N12" s="11" t="s">
        <v>143</v>
      </c>
      <c r="O12" s="11" t="s">
        <v>515</v>
      </c>
      <c r="P12" s="11" t="s">
        <v>516</v>
      </c>
      <c r="Q12" s="11" t="s">
        <v>517</v>
      </c>
      <c r="R12" s="11" t="s">
        <v>518</v>
      </c>
      <c r="S12" s="11" t="s">
        <v>519</v>
      </c>
      <c r="T12" s="11" t="s">
        <v>520</v>
      </c>
      <c r="U12" s="11" t="s">
        <v>267</v>
      </c>
      <c r="V12" s="11" t="s">
        <v>267</v>
      </c>
      <c r="W12" s="11" t="s">
        <v>521</v>
      </c>
      <c r="X12" s="11" t="s">
        <v>522</v>
      </c>
      <c r="Y12" s="11" t="s">
        <v>18</v>
      </c>
      <c r="Z12" s="11" t="s">
        <v>18</v>
      </c>
      <c r="AA12" s="11" t="s">
        <v>523</v>
      </c>
      <c r="AB12" s="11" t="s">
        <v>145</v>
      </c>
      <c r="AC12" s="18" t="str">
        <f>VLOOKUP(A12,'Alert Registry'!$A$2:$N$19,14,FALSE)</f>
        <v>No change</v>
      </c>
    </row>
    <row r="13" spans="1:29" ht="41.25">
      <c r="A13" s="11" t="s">
        <v>168</v>
      </c>
      <c r="B13" s="11" t="s">
        <v>89</v>
      </c>
      <c r="C13" s="12">
        <v>46266</v>
      </c>
      <c r="D13" s="11" t="s">
        <v>169</v>
      </c>
      <c r="E13" s="11" t="s">
        <v>524</v>
      </c>
      <c r="F13" s="11" t="s">
        <v>169</v>
      </c>
      <c r="G13" s="11" t="s">
        <v>363</v>
      </c>
      <c r="H13" s="11" t="s">
        <v>525</v>
      </c>
      <c r="I13" s="11" t="s">
        <v>526</v>
      </c>
      <c r="J13" s="11" t="s">
        <v>527</v>
      </c>
      <c r="K13" s="11" t="s">
        <v>74</v>
      </c>
      <c r="L13" s="11"/>
      <c r="M13" s="11"/>
      <c r="N13" s="11" t="s">
        <v>171</v>
      </c>
      <c r="O13" s="11" t="s">
        <v>528</v>
      </c>
      <c r="P13" s="11" t="s">
        <v>529</v>
      </c>
      <c r="Q13" s="11" t="s">
        <v>530</v>
      </c>
      <c r="R13" s="11" t="s">
        <v>531</v>
      </c>
      <c r="S13" s="11" t="s">
        <v>532</v>
      </c>
      <c r="T13" s="11" t="s">
        <v>533</v>
      </c>
      <c r="U13" s="11" t="s">
        <v>267</v>
      </c>
      <c r="V13" s="11" t="s">
        <v>267</v>
      </c>
      <c r="W13" s="11" t="s">
        <v>74</v>
      </c>
      <c r="X13" s="11" t="s">
        <v>534</v>
      </c>
      <c r="Y13" s="11" t="s">
        <v>238</v>
      </c>
      <c r="Z13" s="11" t="s">
        <v>18</v>
      </c>
      <c r="AA13" s="11" t="s">
        <v>535</v>
      </c>
      <c r="AB13" s="11" t="s">
        <v>173</v>
      </c>
      <c r="AC13" s="18" t="str">
        <f>VLOOKUP(A13,'Alert Registry'!$A$2:$N$19,14,FALSE)</f>
        <v>No change</v>
      </c>
    </row>
    <row r="14" spans="1:29" ht="54.75">
      <c r="A14" s="11" t="s">
        <v>174</v>
      </c>
      <c r="B14" s="11" t="s">
        <v>160</v>
      </c>
      <c r="C14" s="12">
        <v>46282</v>
      </c>
      <c r="D14" s="11" t="s">
        <v>175</v>
      </c>
      <c r="E14" s="11" t="s">
        <v>536</v>
      </c>
      <c r="F14" s="11" t="s">
        <v>175</v>
      </c>
      <c r="G14" s="11" t="s">
        <v>372</v>
      </c>
      <c r="H14" s="11" t="s">
        <v>373</v>
      </c>
      <c r="I14" s="11" t="s">
        <v>537</v>
      </c>
      <c r="J14" s="11" t="s">
        <v>538</v>
      </c>
      <c r="K14" s="11" t="s">
        <v>93</v>
      </c>
      <c r="L14" s="11" t="s">
        <v>69</v>
      </c>
      <c r="M14" s="11" t="s">
        <v>539</v>
      </c>
      <c r="N14" s="11" t="s">
        <v>540</v>
      </c>
      <c r="O14" s="11" t="s">
        <v>541</v>
      </c>
      <c r="P14" s="11" t="s">
        <v>542</v>
      </c>
      <c r="Q14" s="11" t="s">
        <v>543</v>
      </c>
      <c r="R14" s="11" t="s">
        <v>544</v>
      </c>
      <c r="S14" s="11" t="s">
        <v>545</v>
      </c>
      <c r="T14" s="11" t="s">
        <v>546</v>
      </c>
      <c r="U14" s="11" t="s">
        <v>267</v>
      </c>
      <c r="V14" s="11" t="s">
        <v>226</v>
      </c>
      <c r="W14" s="11" t="s">
        <v>74</v>
      </c>
      <c r="X14" s="11" t="s">
        <v>547</v>
      </c>
      <c r="Y14" s="11" t="s">
        <v>238</v>
      </c>
      <c r="Z14" s="11" t="s">
        <v>18</v>
      </c>
      <c r="AA14" s="11" t="s">
        <v>548</v>
      </c>
      <c r="AB14" s="11" t="s">
        <v>180</v>
      </c>
      <c r="AC14" s="18" t="s">
        <v>183</v>
      </c>
    </row>
    <row r="15" spans="1:29" ht="87.6">
      <c r="A15" s="11" t="s">
        <v>182</v>
      </c>
      <c r="B15" s="11" t="s">
        <v>81</v>
      </c>
      <c r="C15" s="12">
        <v>46286</v>
      </c>
      <c r="D15" s="11" t="s">
        <v>82</v>
      </c>
      <c r="E15" s="11" t="s">
        <v>549</v>
      </c>
      <c r="F15" s="11" t="s">
        <v>384</v>
      </c>
      <c r="G15" s="11" t="s">
        <v>550</v>
      </c>
      <c r="H15" s="11" t="s">
        <v>551</v>
      </c>
      <c r="I15" s="11" t="s">
        <v>552</v>
      </c>
      <c r="J15" s="11" t="s">
        <v>553</v>
      </c>
      <c r="K15" s="11" t="s">
        <v>93</v>
      </c>
      <c r="L15" s="11" t="s">
        <v>186</v>
      </c>
      <c r="M15" s="11" t="s">
        <v>554</v>
      </c>
      <c r="N15" s="11" t="s">
        <v>555</v>
      </c>
      <c r="O15" s="11" t="s">
        <v>556</v>
      </c>
      <c r="P15" s="11" t="s">
        <v>557</v>
      </c>
      <c r="Q15" s="11" t="s">
        <v>558</v>
      </c>
      <c r="R15" s="11" t="s">
        <v>559</v>
      </c>
      <c r="S15" s="11" t="s">
        <v>560</v>
      </c>
      <c r="T15" s="11" t="s">
        <v>561</v>
      </c>
      <c r="U15" s="11" t="s">
        <v>226</v>
      </c>
      <c r="V15" s="11" t="s">
        <v>226</v>
      </c>
      <c r="W15" s="11" t="s">
        <v>74</v>
      </c>
      <c r="X15" s="11" t="s">
        <v>562</v>
      </c>
      <c r="Y15" s="11" t="s">
        <v>238</v>
      </c>
      <c r="Z15" s="11" t="s">
        <v>17</v>
      </c>
      <c r="AA15" s="11" t="s">
        <v>563</v>
      </c>
      <c r="AB15" s="11" t="s">
        <v>188</v>
      </c>
      <c r="AC15" t="s">
        <v>564</v>
      </c>
    </row>
    <row r="16" spans="1:29" ht="96.75">
      <c r="A16" s="11" t="s">
        <v>395</v>
      </c>
      <c r="B16" s="11" t="s">
        <v>81</v>
      </c>
      <c r="C16" s="12">
        <v>46301</v>
      </c>
      <c r="D16" s="11" t="s">
        <v>82</v>
      </c>
      <c r="E16" s="11" t="s">
        <v>565</v>
      </c>
      <c r="F16" s="11" t="s">
        <v>384</v>
      </c>
      <c r="G16" s="23" t="s">
        <v>566</v>
      </c>
      <c r="H16" s="11" t="s">
        <v>567</v>
      </c>
      <c r="I16" s="11" t="s">
        <v>552</v>
      </c>
      <c r="J16" s="11" t="s">
        <v>75</v>
      </c>
      <c r="K16" s="11" t="s">
        <v>93</v>
      </c>
      <c r="L16" s="11" t="s">
        <v>568</v>
      </c>
      <c r="M16" s="11" t="s">
        <v>569</v>
      </c>
      <c r="N16" s="11" t="s">
        <v>570</v>
      </c>
      <c r="O16" s="11" t="s">
        <v>403</v>
      </c>
      <c r="P16" s="11" t="s">
        <v>571</v>
      </c>
      <c r="Q16" s="11" t="s">
        <v>572</v>
      </c>
      <c r="R16" s="11" t="s">
        <v>573</v>
      </c>
      <c r="S16" s="11" t="s">
        <v>574</v>
      </c>
      <c r="T16" s="11" t="s">
        <v>575</v>
      </c>
      <c r="U16" s="11" t="s">
        <v>267</v>
      </c>
      <c r="V16" s="11" t="s">
        <v>226</v>
      </c>
      <c r="W16" s="11" t="s">
        <v>257</v>
      </c>
      <c r="X16" s="11" t="s">
        <v>576</v>
      </c>
      <c r="Y16" s="11"/>
      <c r="Z16" s="11" t="s">
        <v>24</v>
      </c>
      <c r="AA16" s="11" t="s">
        <v>577</v>
      </c>
      <c r="AB16" s="11" t="s">
        <v>395</v>
      </c>
      <c r="AC16" t="s">
        <v>564</v>
      </c>
    </row>
    <row r="17" ht="14.25"/>
    <row r="18" ht="14.25"/>
    <row r="19" ht="14.25"/>
  </sheetData>
  <conditionalFormatting sqref="Z2:Z16">
    <cfRule type="expression" dxfId="34" priority="1">
      <formula>Z2="Critical"</formula>
    </cfRule>
    <cfRule type="expression" dxfId="33" priority="2">
      <formula>Z2="High"</formula>
    </cfRule>
    <cfRule type="expression" dxfId="32" priority="3">
      <formula>Z2="Moderate"</formula>
    </cfRule>
    <cfRule type="expression" dxfId="31" priority="4">
      <formula>Z2="Low"</formula>
    </cfRule>
  </conditionalFormatting>
  <pageMargins left="0.7" right="0.7" top="0.75" bottom="0.75" header="0.3" footer="0.3"/>
  <pageSetup paperSize="9" orientation="portrait" horizontalDpi="4294967293" verticalDpi="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1"/>
  <sheetViews>
    <sheetView workbookViewId="0">
      <selection activeCell="B21" sqref="B21"/>
    </sheetView>
  </sheetViews>
  <sheetFormatPr defaultRowHeight="14.1"/>
  <cols>
    <col min="1" max="1" width="24" customWidth="1"/>
    <col min="2" max="2" width="58" customWidth="1"/>
    <col min="3" max="3" width="54" customWidth="1"/>
    <col min="4" max="8" width="12" customWidth="1"/>
    <col min="10" max="10" width="16" customWidth="1"/>
    <col min="11" max="11" width="10" customWidth="1"/>
  </cols>
  <sheetData>
    <row r="1" spans="1:11" ht="18.600000000000001" customHeight="1">
      <c r="A1" s="24" t="s">
        <v>578</v>
      </c>
      <c r="B1" s="24"/>
      <c r="C1" s="24"/>
      <c r="D1" s="24"/>
      <c r="E1" s="24"/>
      <c r="F1" s="24"/>
      <c r="G1" s="24"/>
      <c r="H1" s="24"/>
    </row>
    <row r="2" spans="1:11">
      <c r="J2" s="1" t="s">
        <v>13</v>
      </c>
      <c r="K2" s="1" t="s">
        <v>579</v>
      </c>
    </row>
    <row r="3" spans="1:11">
      <c r="A3" s="1" t="s">
        <v>580</v>
      </c>
      <c r="B3" s="1" t="s">
        <v>581</v>
      </c>
      <c r="J3" s="3" t="s">
        <v>16</v>
      </c>
      <c r="K3" s="3">
        <v>1</v>
      </c>
    </row>
    <row r="4" spans="1:11" ht="24.95">
      <c r="A4" s="3" t="s">
        <v>582</v>
      </c>
      <c r="B4" s="3">
        <v>80</v>
      </c>
      <c r="J4" s="3" t="s">
        <v>17</v>
      </c>
      <c r="K4" s="3">
        <v>2</v>
      </c>
    </row>
    <row r="5" spans="1:11" ht="24.95">
      <c r="A5" s="3" t="s">
        <v>583</v>
      </c>
      <c r="B5" s="3">
        <v>90</v>
      </c>
      <c r="J5" s="3" t="s">
        <v>18</v>
      </c>
      <c r="K5" s="3">
        <v>3</v>
      </c>
    </row>
    <row r="6" spans="1:11">
      <c r="J6" s="3" t="s">
        <v>24</v>
      </c>
      <c r="K6" s="3">
        <v>4</v>
      </c>
    </row>
    <row r="7" spans="1:11">
      <c r="A7" s="26" t="s">
        <v>584</v>
      </c>
      <c r="B7" s="26"/>
      <c r="C7" s="26"/>
      <c r="D7" s="26"/>
      <c r="E7" s="26"/>
      <c r="F7" s="26"/>
      <c r="G7" s="26"/>
      <c r="H7" s="26"/>
    </row>
    <row r="8" spans="1:11">
      <c r="A8" s="32" t="s">
        <v>585</v>
      </c>
      <c r="B8" s="32"/>
      <c r="C8" s="32"/>
      <c r="D8" s="32"/>
      <c r="E8" s="32"/>
      <c r="F8" s="32"/>
      <c r="G8" s="32"/>
      <c r="H8" s="32"/>
    </row>
    <row r="9" spans="1:11">
      <c r="A9" s="32" t="s">
        <v>586</v>
      </c>
      <c r="B9" s="32"/>
      <c r="C9" s="32"/>
      <c r="D9" s="32"/>
      <c r="E9" s="32"/>
      <c r="F9" s="32"/>
      <c r="G9" s="32"/>
      <c r="H9" s="32"/>
    </row>
    <row r="10" spans="1:11">
      <c r="A10" s="32" t="s">
        <v>587</v>
      </c>
      <c r="B10" s="32"/>
      <c r="C10" s="32"/>
      <c r="D10" s="32"/>
      <c r="E10" s="32"/>
      <c r="F10" s="32"/>
      <c r="G10" s="32"/>
      <c r="H10" s="32"/>
    </row>
    <row r="11" spans="1:11">
      <c r="A11" s="32" t="s">
        <v>588</v>
      </c>
      <c r="B11" s="32"/>
      <c r="C11" s="32"/>
      <c r="D11" s="32"/>
      <c r="E11" s="32"/>
      <c r="F11" s="32"/>
      <c r="G11" s="32"/>
      <c r="H11" s="32"/>
    </row>
    <row r="12" spans="1:11">
      <c r="A12" s="32" t="s">
        <v>589</v>
      </c>
      <c r="B12" s="32"/>
      <c r="C12" s="32"/>
      <c r="D12" s="32"/>
      <c r="E12" s="32"/>
      <c r="F12" s="32"/>
      <c r="G12" s="32"/>
      <c r="H12" s="32"/>
    </row>
    <row r="13" spans="1:11">
      <c r="A13" s="32" t="s">
        <v>590</v>
      </c>
      <c r="B13" s="32"/>
      <c r="C13" s="32"/>
      <c r="D13" s="32"/>
      <c r="E13" s="32"/>
      <c r="F13" s="32"/>
      <c r="G13" s="32"/>
      <c r="H13" s="32"/>
    </row>
    <row r="14" spans="1:11">
      <c r="A14" s="32" t="s">
        <v>591</v>
      </c>
      <c r="B14" s="32"/>
      <c r="C14" s="32"/>
      <c r="D14" s="32"/>
      <c r="E14" s="32"/>
      <c r="F14" s="32"/>
      <c r="G14" s="32"/>
      <c r="H14" s="32"/>
    </row>
    <row r="16" spans="1:11">
      <c r="A16" s="26" t="s">
        <v>592</v>
      </c>
      <c r="B16" s="26"/>
      <c r="C16" s="26"/>
      <c r="D16" s="26"/>
      <c r="E16" s="26"/>
      <c r="F16" s="26"/>
      <c r="G16" s="26"/>
      <c r="H16" s="26"/>
    </row>
    <row r="17" spans="1:8">
      <c r="A17" s="1" t="s">
        <v>593</v>
      </c>
      <c r="B17" s="1" t="s">
        <v>594</v>
      </c>
      <c r="C17" s="1" t="s">
        <v>595</v>
      </c>
    </row>
    <row r="18" spans="1:8" ht="24.95">
      <c r="A18" s="4" t="s">
        <v>237</v>
      </c>
      <c r="B18" s="3" t="s">
        <v>596</v>
      </c>
      <c r="C18" s="3" t="s">
        <v>597</v>
      </c>
    </row>
    <row r="19" spans="1:8" ht="24.95">
      <c r="A19" s="5" t="s">
        <v>226</v>
      </c>
      <c r="B19" s="3" t="s">
        <v>598</v>
      </c>
      <c r="C19" s="3" t="s">
        <v>599</v>
      </c>
    </row>
    <row r="20" spans="1:8" ht="37.5">
      <c r="A20" s="6" t="s">
        <v>267</v>
      </c>
      <c r="B20" s="3" t="s">
        <v>600</v>
      </c>
      <c r="C20" s="3" t="s">
        <v>601</v>
      </c>
    </row>
    <row r="21" spans="1:8" ht="24.95">
      <c r="A21" s="7" t="s">
        <v>483</v>
      </c>
      <c r="B21" s="3" t="s">
        <v>602</v>
      </c>
      <c r="C21" s="3" t="s">
        <v>603</v>
      </c>
    </row>
    <row r="23" spans="1:8">
      <c r="A23" s="26" t="s">
        <v>604</v>
      </c>
      <c r="B23" s="26"/>
      <c r="C23" s="26"/>
      <c r="D23" s="26"/>
      <c r="E23" s="26"/>
      <c r="F23" s="26"/>
      <c r="G23" s="26"/>
      <c r="H23" s="26"/>
    </row>
    <row r="24" spans="1:8">
      <c r="A24" s="1" t="s">
        <v>605</v>
      </c>
      <c r="B24" s="1" t="s">
        <v>606</v>
      </c>
    </row>
    <row r="25" spans="1:8" ht="24.95">
      <c r="A25" s="3" t="s">
        <v>607</v>
      </c>
      <c r="B25" s="3" t="s">
        <v>608</v>
      </c>
    </row>
    <row r="26" spans="1:8">
      <c r="A26" s="3" t="s">
        <v>609</v>
      </c>
      <c r="B26" s="3" t="s">
        <v>610</v>
      </c>
    </row>
    <row r="27" spans="1:8" ht="24.95">
      <c r="A27" s="3" t="s">
        <v>611</v>
      </c>
      <c r="B27" s="3" t="s">
        <v>612</v>
      </c>
    </row>
    <row r="28" spans="1:8" ht="24.95">
      <c r="A28" s="3" t="s">
        <v>613</v>
      </c>
      <c r="B28" s="3" t="s">
        <v>614</v>
      </c>
    </row>
    <row r="29" spans="1:8" ht="24.95">
      <c r="A29" s="3" t="s">
        <v>615</v>
      </c>
      <c r="B29" s="3" t="s">
        <v>616</v>
      </c>
    </row>
    <row r="30" spans="1:8" ht="24.95">
      <c r="A30" s="3" t="s">
        <v>617</v>
      </c>
      <c r="B30" s="3" t="s">
        <v>618</v>
      </c>
    </row>
    <row r="31" spans="1:8" ht="37.5">
      <c r="A31" s="3" t="s">
        <v>619</v>
      </c>
      <c r="B31" s="3" t="s">
        <v>620</v>
      </c>
    </row>
  </sheetData>
  <mergeCells count="11">
    <mergeCell ref="A1:H1"/>
    <mergeCell ref="A7:H7"/>
    <mergeCell ref="A16:H16"/>
    <mergeCell ref="A23:H23"/>
    <mergeCell ref="A8:H8"/>
    <mergeCell ref="A9:H9"/>
    <mergeCell ref="A10:H10"/>
    <mergeCell ref="A11:H11"/>
    <mergeCell ref="A12:H12"/>
    <mergeCell ref="A13:H13"/>
    <mergeCell ref="A14:H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1f8940e-d1a7-40ad-968f-2c66eb53a90a" xsi:nil="true"/>
    <lcf76f155ced4ddcb4097134ff3c332f xmlns="9a9445a5-b38d-4e11-8760-e4c43ce243d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C9D634304CDD944BBB6F6B9B96AB5DD" ma:contentTypeVersion="15" ma:contentTypeDescription="Create a new document." ma:contentTypeScope="" ma:versionID="bd01d50eceb60dc3d78575b1d621ffd7">
  <xsd:schema xmlns:xsd="http://www.w3.org/2001/XMLSchema" xmlns:xs="http://www.w3.org/2001/XMLSchema" xmlns:p="http://schemas.microsoft.com/office/2006/metadata/properties" xmlns:ns2="9a9445a5-b38d-4e11-8760-e4c43ce243d7" xmlns:ns3="31f8940e-d1a7-40ad-968f-2c66eb53a90a" targetNamespace="http://schemas.microsoft.com/office/2006/metadata/properties" ma:root="true" ma:fieldsID="8557c186efe597399650bd8228c58222" ns2:_="" ns3:_="">
    <xsd:import namespace="9a9445a5-b38d-4e11-8760-e4c43ce243d7"/>
    <xsd:import namespace="31f8940e-d1a7-40ad-968f-2c66eb53a9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9445a5-b38d-4e11-8760-e4c43ce243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f8940e-d1a7-40ad-968f-2c66eb53a90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df4e13b-b02f-4eb8-8319-0e177e045c02}" ma:internalName="TaxCatchAll" ma:showField="CatchAllData" ma:web="31f8940e-d1a7-40ad-968f-2c66eb53a90a">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406E65-6093-4A8A-82E1-D9E0F23B2F56}"/>
</file>

<file path=customXml/itemProps2.xml><?xml version="1.0" encoding="utf-8"?>
<ds:datastoreItem xmlns:ds="http://schemas.openxmlformats.org/officeDocument/2006/customXml" ds:itemID="{CAAFE577-50AC-4E5F-AD1E-9352F91A6B8B}"/>
</file>

<file path=customXml/itemProps3.xml><?xml version="1.0" encoding="utf-8"?>
<ds:datastoreItem xmlns:ds="http://schemas.openxmlformats.org/officeDocument/2006/customXml" ds:itemID="{FE7B8E1E-26CD-451A-A8C3-F8007A66E5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2026-09-10T13:47:39Z</dcterms:created>
  <dcterms:modified xsi:type="dcterms:W3CDTF">2026-10-16T06:17:02Z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0x010100FC9D634304CDD944BBB6F6B9B96AB5DD</vt:lpwstr>
  </property>
  <property fmtid="{D5CDD505-2E9C-101B-9397-08002B2CF9AE}" pid="3" name="MediaServiceImageTags">
    <vt:lpwstr/>
  </property>
</Properties>
</file>