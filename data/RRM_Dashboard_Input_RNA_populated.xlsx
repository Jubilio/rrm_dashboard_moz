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MPACT - DBO\AppData\Local\Microsoft\Olk\Attachments\ooa-853afc0b-d2bc-4531-a6ef-059a9257bb53\465b95a2ee1132f70ecec52ae64bebeebbc89844945633b297791b8f46b3518e\"/>
    </mc:Choice>
  </mc:AlternateContent>
  <xr:revisionPtr revIDLastSave="0" documentId="13_ncr:1_{AC668EF3-753C-45E4-8068-EF6E4A389025}" xr6:coauthVersionLast="47" xr6:coauthVersionMax="47" xr10:uidLastSave="{00000000-0000-0000-0000-000000000000}"/>
  <bookViews>
    <workbookView xWindow="28680" yWindow="-120" windowWidth="29040" windowHeight="16440" xr2:uid="{00000000-000D-0000-FFFF-FFFF00000000}"/>
  </bookViews>
  <sheets>
    <sheet name="ReadMe" sheetId="1" r:id="rId1"/>
    <sheet name="Coverage" sheetId="2" r:id="rId2"/>
    <sheet name="Alerts" sheetId="3" r:id="rId3"/>
    <sheet name="Routes" sheetId="4" r:id="rId4"/>
    <sheet name="Route Locations" sheetId="5" r:id="rId5"/>
    <sheet name="Assessments" sheetId="6" r:id="rId6"/>
    <sheet name="Needs" sheetId="7" r:id="rId7"/>
    <sheet name="Screening" sheetId="8" r:id="rId8"/>
    <sheet name="Activities" sheetId="9" r:id="rId9"/>
    <sheet name="Transfers" sheetId="10" r:id="rId10"/>
    <sheet name="Metadata" sheetId="11" r:id="rId11"/>
    <sheet name="Field Guide" sheetId="12"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tc={E56327E8-5CA0-495D-806D-7902D84FA723}</author>
    <author>tc={69E41F42-033D-4D67-9131-3CB9D88F7556}</author>
    <author>tc={317149D7-9DDB-4ED1-A00F-4C49011C336D}</author>
    <author>tc={853008BC-A28F-41B2-A9A8-B8FE62AD3FF2}</author>
    <author>tc={F13B60F9-D526-4B20-B62F-E25B8808B22F}</author>
    <author>tc={2CEECAEA-5CAF-4241-8608-AB331B48451B}</author>
    <author>tc={D890B151-785E-4819-9D00-3213CBF856F8}</author>
    <author>tc={4405AC86-BBC9-40C0-8649-D8150BB570C2}</author>
    <author>tc={678A0E6A-827C-4E3C-A193-883800119D39}</author>
  </authors>
  <commentList>
    <comment ref="A2" authorId="0" shapeId="0" xr:uid="{E56327E8-5CA0-495D-806D-7902D84FA723}">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3" authorId="1" shapeId="0" xr:uid="{69E41F42-033D-4D67-9131-3CB9D88F7556}">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4" authorId="2" shapeId="0" xr:uid="{317149D7-9DDB-4ED1-A00F-4C49011C336D}">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5" authorId="3" shapeId="0" xr:uid="{853008BC-A28F-41B2-A9A8-B8FE62AD3FF2}">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6" authorId="4" shapeId="0" xr:uid="{F13B60F9-D526-4B20-B62F-E25B8808B22F}">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7" authorId="5" shapeId="0" xr:uid="{2CEECAEA-5CAF-4241-8608-AB331B48451B}">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8" authorId="6" shapeId="0" xr:uid="{D890B151-785E-4819-9D00-3213CBF856F8}">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9" authorId="7" shapeId="0" xr:uid="{4405AC86-BBC9-40C0-8649-D8150BB570C2}">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 ref="A10" authorId="8" shapeId="0" xr:uid="{678A0E6A-827C-4E3C-A193-883800119D39}">
      <text>
        <t>[Threaded comment]
Your version of Excel allows you to read this threaded comment; however, any edits to it will get removed if the file is opened in a newer version of Excel. Learn more: https://go.microsoft.com/fwlink/?linkid=870924
Comment:
    Demo row from template - replace with the real GLA coverage assignments.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tc={E1219134-C1C7-4CCF-A729-D2AD29D0FCE3}</author>
    <author>tc={256AC8AB-BA0A-4F9C-831E-BF1E00AAFE91}</author>
    <author>tc={4F0CB6F4-1303-4702-B6B4-AD8E82B3AD31}</author>
    <author>tc={F59E40C3-EA32-4638-BA92-F8C4C83F5CFC}</author>
    <author>tc={F74ABBF7-98AB-4B27-AD53-5626A73C0AED}</author>
    <author>tc={7EB535FB-9952-487A-AE70-2F4C55097D06}</author>
    <author>tc={BC0113DF-1653-499D-85AE-7577FA47112D}</author>
    <author>tc={35258012-2914-407D-8530-700D8F629121}</author>
    <author>tc={66DA33BF-0A0A-4DD0-8507-C3FC73E1576C}</author>
    <author>tc={B3994CE1-0443-4C6C-8402-DB780664B890}</author>
    <author>tc={AC293AA9-A8FF-4AB0-8D7B-4C5C4AA6CCDE}</author>
    <author>tc={6F36722B-CDD0-4D85-AB64-E758E33F42A3}</author>
    <author>tc={9089E306-0C77-4202-A210-829E4765B699}</author>
    <author>tc={93F0E3F6-2285-47F9-869D-E262B09A51CD}</author>
    <author>tc={09759795-52F0-45A1-B08F-3BFBFDAC1FAA}</author>
    <author>tc={444301C3-9366-4F95-AC1D-AD19DDDEC539}</author>
    <author>tc={21046315-F729-4882-8A36-EED1A85F46CF}</author>
    <author>tc={B84F2B44-F7FE-46CE-83E8-4805A3266EA1}</author>
    <author>tc={5C667671-14FE-40D3-84A0-2627D1A27B8D}</author>
    <author>tc={D5866B9A-8868-4CC9-81AF-6F3738A63E61}</author>
    <author>tc={34438A35-6990-49FA-88DA-ABA3D70E2713}</author>
    <author>tc={112BE6D5-699B-4549-B31D-02AFFC59EC32}</author>
    <author>tc={906B5550-D82A-4038-8CD5-8551F6B5F710}</author>
    <author>tc={D9C83ED4-53E1-470C-9BC4-18C820D701A6}</author>
    <author>tc={9FBE58BB-B18A-4FE6-837C-4E23C9E9D22A}</author>
    <author>tc={107A0E04-37F1-42C3-A8C6-4021665DDF41}</author>
    <author>tc={4F0A9F95-D852-4A40-B30C-3FE04BB67A1D}</author>
    <author>tc={541D6419-8E65-4A1A-B898-B123F3BD8CF6}</author>
    <author>tc={2F0FA5C3-2A57-4F4E-A7BA-D6115A81B682}</author>
    <author>tc={AA627070-F38C-415C-BAF9-48EA5D738785}</author>
    <author>tc={051D5953-9153-4E3E-8F90-262ABFBEF39F}</author>
    <author>tc={171CA698-474E-4009-8A9A-3C5C036619DD}</author>
    <author>tc={BC8D7271-898F-4A42-84CB-2D41306B5A65}</author>
    <author>tc={7A46C869-08A8-45B8-8A20-98E6467188F0}</author>
  </authors>
  <commentList>
    <comment ref="C2" authorId="0" shapeId="0" xr:uid="{E1219134-C1C7-4CCF-A729-D2AD29D0FCE3}">
      <text>
        <t>[Threaded comment]
Your version of Excel allows you to read this threaded comment; however, any edits to it will get removed if the file is opened in a newer version of Excel. Learn more: https://go.microsoft.com/fwlink/?linkid=870924
Comment:
    Categorised from shock type: 'NSAG attacks / insecurity'. Confirm category list.</t>
      </text>
    </comment>
    <comment ref="D2" authorId="1" shapeId="0" xr:uid="{256AC8AB-BA0A-4F9C-831E-BF1E00AAFE91}">
      <text>
        <t>[Threaded comment]
Your version of Excel allows you to read this threaded comment; however, any edits to it will get removed if the file is opened in a newer version of Excel. Learn more: https://go.microsoft.com/fwlink/?linkid=870924
Comment:
    IOM/DTM is the alert source; RNA done by ACF. Confirm the GLA.</t>
      </text>
    </comment>
    <comment ref="C3" authorId="2" shapeId="0" xr:uid="{4F0CB6F4-1303-4702-B6B4-AD8E82B3AD31}">
      <text>
        <t>[Threaded comment]
Your version of Excel allows you to read this threaded comment; however, any edits to it will get removed if the file is opened in a newer version of Excel. Learn more: https://go.microsoft.com/fwlink/?linkid=870924
Comment:
    Categorised from shock type: 'Armed attacks / NSAG movement'. Confirm category list.</t>
      </text>
    </comment>
    <comment ref="C4" authorId="3" shapeId="0" xr:uid="{F59E40C3-EA32-4638-BA92-F8C4C83F5CFC}">
      <text>
        <t>[Threaded comment]
Your version of Excel allows you to read this threaded comment; however, any edits to it will get removed if the file is opened in a newer version of Excel. Learn more: https://go.microsoft.com/fwlink/?linkid=870924
Comment:
    Categorised from shock type: 'Armed attack'. Confirm category list.</t>
      </text>
    </comment>
    <comment ref="L4" authorId="4" shapeId="0" xr:uid="{F74ABBF7-98AB-4B27-AD53-5626A73C0AED}">
      <text>
        <t>[Threaded comment]
Your version of Excel allows you to read this threaded comment; however, any edits to it will get removed if the file is opened in a newer version of Excel. Learn more: https://go.microsoft.com/fwlink/?linkid=870924
Comment:
    No RNA yet: RNA fields left blank (tracker carried the alert severity forward).</t>
      </text>
    </comment>
    <comment ref="C5" authorId="5" shapeId="0" xr:uid="{7EB535FB-9952-487A-AE70-2F4C55097D06}">
      <text>
        <t>[Threaded comment]
Your version of Excel allows you to read this threaded comment; however, any edits to it will get removed if the file is opened in a newer version of Excel. Learn more: https://go.microsoft.com/fwlink/?linkid=870924
Comment:
    Categorised from shock type: 'Multiple armed attacks, destruction and abductions'. Confirm category list.</t>
      </text>
    </comment>
    <comment ref="C6" authorId="6" shapeId="0" xr:uid="{BC0113DF-1653-499D-85AE-7577FA47112D}">
      <text>
        <t>[Threaded comment]
Your version of Excel allows you to read this threaded comment; however, any edits to it will get removed if the file is opened in a newer version of Excel. Learn more: https://go.microsoft.com/fwlink/?linkid=870924
Comment:
    Categorised from shock type: 'Armed attack + fear of further attacks'. Confirm category list.</t>
      </text>
    </comment>
    <comment ref="C7" authorId="7" shapeId="0" xr:uid="{35258012-2914-407D-8530-700D8F629121}">
      <text>
        <t>[Threaded comment]
Your version of Excel allows you to read this threaded comment; however, any edits to it will get removed if the file is opened in a newer version of Excel. Learn more: https://go.microsoft.com/fwlink/?linkid=870924
Comment:
    Categorised from shock type: 'Armed attacks / population movement'. Confirm category list.</t>
      </text>
    </comment>
    <comment ref="C8" authorId="8" shapeId="0" xr:uid="{66DA33BF-0A0A-4DD0-8507-C3FC73E1576C}">
      <text>
        <t>[Threaded comment]
Your version of Excel allows you to read this threaded comment; however, any edits to it will get removed if the file is opened in a newer version of Excel. Learn more: https://go.microsoft.com/fwlink/?linkid=870924
Comment:
    Categorised from shock type: 'Recurrent NSAG attacks'. Confirm category list.</t>
      </text>
    </comment>
    <comment ref="L8" authorId="9" shapeId="0" xr:uid="{B3994CE1-0443-4C6C-8402-DB780664B890}">
      <text>
        <t>[Threaded comment]
Your version of Excel allows you to read this threaded comment; however, any edits to it will get removed if the file is opened in a newer version of Excel. Learn more: https://go.microsoft.com/fwlink/?linkid=870924
Comment:
    No RNA yet: RNA fields left blank (tracker carried the alert severity forward).</t>
      </text>
    </comment>
    <comment ref="C9" authorId="10" shapeId="0" xr:uid="{AC293AA9-A8FF-4AB0-8D7B-4C5C4AA6CCDE}">
      <text>
        <t>[Threaded comment]
Your version of Excel allows you to read this threaded comment; however, any edits to it will get removed if the file is opened in a newer version of Excel. Learn more: https://go.microsoft.com/fwlink/?linkid=870924
Comment:
    Categorised from shock type: 'Armed NSAG attack; killings, burning, looting and destruction'. Confirm category list.</t>
      </text>
    </comment>
    <comment ref="C10" authorId="11" shapeId="0" xr:uid="{6F36722B-CDD0-4D85-AB64-E758E33F42A3}">
      <text>
        <t>[Threaded comment]
Your version of Excel allows you to read this threaded comment; however, any edits to it will get removed if the file is opened in a newer version of Excel. Learn more: https://go.microsoft.com/fwlink/?linkid=870924
Comment:
    Categorised from shock type: 'Repeated armed attacks, killings, abductions and burned houses'. Confirm category list.</t>
      </text>
    </comment>
    <comment ref="C11" authorId="12" shapeId="0" xr:uid="{9089E306-0C77-4202-A210-829E4765B699}">
      <text>
        <t>[Threaded comment]
Your version of Excel allows you to read this threaded comment; however, any edits to it will get removed if the file is opened in a newer version of Excel. Learn more: https://go.microsoft.com/fwlink/?linkid=870924
Comment:
    Categorised from shock type: 'Armed attack / insecurity / fear'. Confirm category list.</t>
      </text>
    </comment>
    <comment ref="C12" authorId="13" shapeId="0" xr:uid="{93F0E3F6-2285-47F9-869D-E262B09A51CD}">
      <text>
        <t>[Threaded comment]
Your version of Excel allows you to read this threaded comment; however, any edits to it will get removed if the file is opened in a newer version of Excel. Learn more: https://go.microsoft.com/fwlink/?linkid=870924
Comment:
    Categorised from shock type: 'NSAG movement / abduction incident / fear of attack'. Confirm category list.</t>
      </text>
    </comment>
    <comment ref="C13" authorId="14" shapeId="0" xr:uid="{09759795-52F0-45A1-B08F-3BFBFDAC1FAA}">
      <text>
        <t>[Threaded comment]
Your version of Excel allows you to read this threaded comment; however, any edits to it will get removed if the file is opened in a newer version of Excel. Learn more: https://go.microsoft.com/fwlink/?linkid=870924
Comment:
    Categorised from shock type: 'Armed attack, abductions, houses burned and looted'. Confirm category list.</t>
      </text>
    </comment>
    <comment ref="L13" authorId="15" shapeId="0" xr:uid="{444301C3-9366-4F95-AC1D-AD19DDDEC539}">
      <text>
        <t>[Threaded comment]
Your version of Excel allows you to read this threaded comment; however, any edits to it will get removed if the file is opened in a newer version of Excel. Learn more: https://go.microsoft.com/fwlink/?linkid=870924
Comment:
    No row in Severity - RNA sheet; RNA severity taken from Alert Registry only.</t>
      </text>
    </comment>
    <comment ref="N13" authorId="16" shapeId="0" xr:uid="{21046315-F729-4882-8A36-EED1A85F46CF}">
      <text>
        <t>[Threaded comment]
Your version of Excel allows you to read this threaded comment; however, any edits to it will get removed if the file is opened in a newer version of Excel. Learn more: https://go.microsoft.com/fwlink/?linkid=870924
Comment:
    Severity - Alert row labelled 'RRM_NRC_MONTEPUEZ_29072026_IDP' in source (copy-paste error); matched by position/content.</t>
      </text>
    </comment>
    <comment ref="C14" authorId="17" shapeId="0" xr:uid="{B84F2B44-F7FE-46CE-83E8-4805A3266EA1}">
      <text>
        <t>[Threaded comment]
Your version of Excel allows you to read this threaded comment; however, any edits to it will get removed if the file is opened in a newer version of Excel. Learn more: https://go.microsoft.com/fwlink/?linkid=870924
Comment:
    Categorised from shock type: 'Return following conflict displacement'. Confirm category list.</t>
      </text>
    </comment>
    <comment ref="L14" authorId="18" shapeId="0" xr:uid="{5C667671-14FE-40D3-84A0-2627D1A27B8D}">
      <text>
        <t>[Threaded comment]
Your version of Excel allows you to read this threaded comment; however, any edits to it will get removed if the file is opened in a newer version of Excel. Learn more: https://go.microsoft.com/fwlink/?linkid=870924
Comment:
    No row in Severity - RNA sheet; RNA severity taken from Alert Registry only.</t>
      </text>
    </comment>
    <comment ref="N14" authorId="19" shapeId="0" xr:uid="{D5866B9A-8868-4CC9-81AF-6F3738A63E61}">
      <text>
        <t>[Threaded comment]
Your version of Excel allows you to read this threaded comment; however, any edits to it will get removed if the file is opened in a newer version of Excel. Learn more: https://go.microsoft.com/fwlink/?linkid=870924
Comment:
    Severity - Alert row labelled 'RRM_NRC_MONTEPUEZ_29072026_IDP' in source (copy-paste error); matched by position/content.</t>
      </text>
    </comment>
    <comment ref="C15" authorId="20" shapeId="0" xr:uid="{34438A35-6990-49FA-88DA-ABA3D70E2713}">
      <text>
        <t>[Threaded comment]
Your version of Excel allows you to read this threaded comment; however, any edits to it will get removed if the file is opened in a newer version of Excel. Learn more: https://go.microsoft.com/fwlink/?linkid=870924
Comment:
    Categorised from shock type: 'Armed attack / abductions / fear'. Confirm category list.</t>
      </text>
    </comment>
    <comment ref="L15" authorId="21" shapeId="0" xr:uid="{112BE6D5-699B-4549-B31D-02AFFC59EC32}">
      <text>
        <t>[Threaded comment]
Your version of Excel allows you to read this threaded comment; however, any edits to it will get removed if the file is opened in a newer version of Excel. Learn more: https://go.microsoft.com/fwlink/?linkid=870924
Comment:
    No row in Severity - RNA sheet; RNA severity taken from Alert Registry only.</t>
      </text>
    </comment>
    <comment ref="C16" authorId="22" shapeId="0" xr:uid="{906B5550-D82A-4038-8CD5-8551F6B5F710}">
      <text>
        <t>[Threaded comment]
Your version of Excel allows you to read this threaded comment; however, any edits to it will get removed if the file is opened in a newer version of Excel. Learn more: https://go.microsoft.com/fwlink/?linkid=870924
Comment:
    Categorised from shock type: 'Armed attacks / burned houses'. Confirm category list.</t>
      </text>
    </comment>
    <comment ref="C17" authorId="23" shapeId="0" xr:uid="{D9C83ED4-53E1-470C-9BC4-18C820D701A6}">
      <text>
        <t>[Threaded comment]
Your version of Excel allows you to read this threaded comment; however, any edits to it will get removed if the file is opened in a newer version of Excel. Learn more: https://go.microsoft.com/fwlink/?linkid=870924
Comment:
    Categorised from shock type: 'NSAG attacks / looting / burning / destruction'. Confirm category list.</t>
      </text>
    </comment>
    <comment ref="C18" authorId="24" shapeId="0" xr:uid="{9FBE58BB-B18A-4FE6-837C-4E23C9E9D22A}">
      <text>
        <t>[Threaded comment]
Your version of Excel allows you to read this threaded comment; however, any edits to it will get removed if the file is opened in a newer version of Excel. Learn more: https://go.microsoft.com/fwlink/?linkid=870924
Comment:
    Categorised from shock type: 'Armed attacks / NSAG movements / fear of attacks and abductions'. Confirm category list.</t>
      </text>
    </comment>
    <comment ref="L18" authorId="25" shapeId="0" xr:uid="{107A0E04-37F1-42C3-A8C6-4021665DDF41}">
      <text>
        <t>[Threaded comment]
Your version of Excel allows you to read this threaded comment; however, any edits to it will get removed if the file is opened in a newer version of Excel. Learn more: https://go.microsoft.com/fwlink/?linkid=870924
Comment:
    CONFLICT: Alert Registry says High; Severity - RNA scores Moderate and replaces the caseload with 93 people (final verified). Kept registry value - team to decide.</t>
      </text>
    </comment>
    <comment ref="C19" authorId="26" shapeId="0" xr:uid="{4F0A9F95-D852-4A40-B30C-3FE04BB67A1D}">
      <text>
        <t>[Threaded comment]
Your version of Excel allows you to read this threaded comment; however, any edits to it will get removed if the file is opened in a newer version of Excel. Learn more: https://go.microsoft.com/fwlink/?linkid=870924
Comment:
    Categorised from shock type: 'Armed attack + fear of further attacks'. Confirm category list.</t>
      </text>
    </comment>
    <comment ref="L19" authorId="27" shapeId="0" xr:uid="{541D6419-8E65-4A1A-B898-B123F3BD8CF6}">
      <text>
        <t>[Threaded comment]
Your version of Excel allows you to read this threaded comment; however, any edits to it will get removed if the file is opened in a newer version of Excel. Learn more: https://go.microsoft.com/fwlink/?linkid=870924
Comment:
    RNA severity, caseload (1040 HH) and stage date (6 Oct) from Severity - RNA sheet; not yet in the Alert Registry.</t>
      </text>
    </comment>
    <comment ref="A20" authorId="28" shapeId="0" xr:uid="{2F0FA5C3-2A57-4F4E-A7BA-D6115A81B682}">
      <text>
        <t>[Threaded comment]
Your version of Excel allows you to read this threaded comment; however, any edits to it will get removed if the file is opened in a newer version of Excel. Learn more: https://go.microsoft.com/fwlink/?linkid=870924
Comment:
    Alert ID as assigned in the RNA dataset; kept as is. Alert tracker not yet updated with this alert.</t>
      </text>
    </comment>
    <comment ref="B20" authorId="29" shapeId="0" xr:uid="{AA627070-F38C-415C-BAF9-48EA5D738785}">
      <text>
        <t>[Threaded comment]
Your version of Excel allows you to read this threaded comment; however, any edits to it will get removed if the file is opened in a newer version of Excel. Learn more: https://go.microsoft.com/fwlink/?linkid=870924
Comment:
    Alert date not available - add from alert tracker.</t>
      </text>
    </comment>
    <comment ref="C20" authorId="30" shapeId="0" xr:uid="{051D5953-9153-4E3E-8F90-262ABFBEF39F}">
      <text>
        <t>[Threaded comment]
Your version of Excel allows you to read this threaded comment; however, any edits to it will get removed if the file is opened in a newer version of Excel. Learn more: https://go.microsoft.com/fwlink/?linkid=870924
Comment:
    Assumed Conflict - confirm.</t>
      </text>
    </comment>
    <comment ref="F20" authorId="31" shapeId="0" xr:uid="{171CA698-474E-4009-8A9A-3C5C036619DD}">
      <text>
        <t>[Threaded comment]
Your version of Excel allows you to read this threaded comment; however, any edits to it will get removed if the file is opened in a newer version of Excel. Learn more: https://go.microsoft.com/fwlink/?linkid=870924
Comment:
    Alert caseload not available.</t>
      </text>
    </comment>
    <comment ref="H20" authorId="32" shapeId="0" xr:uid="{BC8D7271-898F-4A42-84CB-2D41306B5A65}">
      <text>
        <t>[Threaded comment]
Your version of Excel allows you to read this threaded comment; however, any edits to it will get removed if the file is opened in a newer version of Excel. Learn more: https://go.microsoft.com/fwlink/?linkid=870924
Comment:
    Alert severity not available.</t>
      </text>
    </comment>
    <comment ref="L20" authorId="33" shapeId="0" xr:uid="{7A46C869-08A8-45B8-8A20-98E6467188F0}">
      <text>
        <t>[Threaded comment]
Your version of Excel allows you to read this threaded comment; however, any edits to it will get removed if the file is opened in a newer version of Excel. Learn more: https://go.microsoft.com/fwlink/?linkid=870924
Comment:
    RNA severity not yet scored.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tc={CDBD77CE-EB2D-4E3A-BC59-D4A915AECFE0}</author>
    <author>tc={BD66E8A2-162E-415F-801C-A9E727E8F1E2}</author>
    <author>tc={F17A1211-33C7-46A0-8669-586DFF479964}</author>
    <author>tc={88251050-01AA-4FDF-907C-C586E16F5E9E}</author>
    <author>tc={A0FE8B66-7BCF-4405-AF31-B8BEB67DA9C2}</author>
    <author>tc={CD0DE203-24B1-407F-BB44-80E0581F3117}</author>
    <author>tc={98A5A505-2EA1-4C72-978A-48791EF65F78}</author>
    <author>tc={AB03967C-4DB5-48C3-AEAC-F334283BF893}</author>
    <author>tc={D033EB24-0ABB-437E-9D80-F55613C118D1}</author>
    <author>tc={EB1656A6-BC1C-4775-B94F-8F69B3F26B2A}</author>
    <author>tc={59D33DD9-990A-463D-96DE-537BE13C326F}</author>
    <author>tc={97E6B463-F5FF-4605-A0F3-23CCA712B3B9}</author>
    <author>tc={B3678656-AE88-453E-A3E6-48F49B8BE93C}</author>
    <author>tc={518A0F50-50B1-4E2B-AB0E-18D5D4B01AF7}</author>
    <author>tc={4E8E2159-279A-46DA-B10D-5610DC376673}</author>
    <author>tc={5A75FE2F-B699-4A3B-9FA3-FEF661310114}</author>
    <author>tc={285C87DF-1D20-4BD5-BE02-EFACDC766E81}</author>
    <author>tc={29291401-4213-4900-8CDA-5559458FA30E}</author>
    <author>tc={F4E258CA-2DEC-4AC5-A07C-C794D186014E}</author>
    <author>tc={DC98EB6A-EEEE-4056-BD58-90036C4B6A8D}</author>
    <author>tc={AFF1C103-5FFC-4716-B231-5691BF25C170}</author>
    <author>tc={F8FEA1BC-2B0B-44C9-A9BA-CDCD4E181183}</author>
    <author>tc={3B37A8BF-FB62-44CE-8E9D-0ED7467D0E3F}</author>
    <author>tc={4D70F14B-5941-4E80-909A-CB984E5DB277}</author>
    <author>tc={F3068DBF-F867-4102-8CA3-64C8B1FE9ACF}</author>
  </authors>
  <commentList>
    <comment ref="D2" authorId="0" shapeId="0" xr:uid="{CDBD77CE-EB2D-4E3A-BC59-D4A915AECFE0}">
      <text>
        <t>[Threaded comment]
Your version of Excel allows you to read this threaded comment; however, any edits to it will get removed if the file is opened in a newer version of Excel. Learn more: https://go.microsoft.com/fwlink/?linkid=870924
Comment:
    Multiple or unresolved origins/destinations: template expects one origin-arrival segment per row. Split into separate routes with route-specific figures if available.</t>
      </text>
    </comment>
    <comment ref="H2" authorId="1" shapeId="0" xr:uid="{BD66E8A2-162E-415F-801C-A9E727E8F1E2}">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3" authorId="2" shapeId="0" xr:uid="{F17A1211-33C7-46A0-8669-586DFF479964}">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D4" authorId="3" shapeId="0" xr:uid="{88251050-01AA-4FDF-907C-C586E16F5E9E}">
      <text>
        <t>[Threaded comment]
Your version of Excel allows you to read this threaded comment; however, any edits to it will get removed if the file is opened in a newer version of Excel. Learn more: https://go.microsoft.com/fwlink/?linkid=870924
Comment:
    Multiple or unresolved origins/destinations: template expects one origin-arrival segment per row. Split into separate routes with route-specific figures if available.</t>
      </text>
    </comment>
    <comment ref="H4" authorId="4" shapeId="0" xr:uid="{A0FE8B66-7BCF-4405-AF31-B8BEB67DA9C2}">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5" authorId="5" shapeId="0" xr:uid="{CD0DE203-24B1-407F-BB44-80E0581F3117}">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6" authorId="6" shapeId="0" xr:uid="{98A5A505-2EA1-4C72-978A-48791EF65F78}">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D7" authorId="7" shapeId="0" xr:uid="{AB03967C-4DB5-48C3-AEAC-F334283BF893}">
      <text>
        <t>[Threaded comment]
Your version of Excel allows you to read this threaded comment; however, any edits to it will get removed if the file is opened in a newer version of Excel. Learn more: https://go.microsoft.com/fwlink/?linkid=870924
Comment:
    Multiple or unresolved origins/destinations: template expects one origin-arrival segment per row. Split into separate routes with route-specific figures if available.</t>
      </text>
    </comment>
    <comment ref="H7" authorId="8" shapeId="0" xr:uid="{D033EB24-0ABB-437E-9D80-F55613C118D1}">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8" authorId="9" shapeId="0" xr:uid="{EB1656A6-BC1C-4775-B94F-8F69B3F26B2A}">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D9" authorId="10" shapeId="0" xr:uid="{59D33DD9-990A-463D-96DE-537BE13C326F}">
      <text>
        <t>[Threaded comment]
Your version of Excel allows you to read this threaded comment; however, any edits to it will get removed if the file is opened in a newer version of Excel. Learn more: https://go.microsoft.com/fwlink/?linkid=870924
Comment:
    Multiple or unresolved origins/destinations: template expects one origin-arrival segment per row. Split into separate routes with route-specific figures if available.</t>
      </text>
    </comment>
    <comment ref="H9" authorId="11" shapeId="0" xr:uid="{97E6B463-F5FF-4605-A0F3-23CCA712B3B9}">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10" authorId="12" shapeId="0" xr:uid="{B3678656-AE88-453E-A3E6-48F49B8BE93C}">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D11" authorId="13" shapeId="0" xr:uid="{518A0F50-50B1-4E2B-AB0E-18D5D4B01AF7}">
      <text>
        <t>[Threaded comment]
Your version of Excel allows you to read this threaded comment; however, any edits to it will get removed if the file is opened in a newer version of Excel. Learn more: https://go.microsoft.com/fwlink/?linkid=870924
Comment:
    Multiple or unresolved origins/destinations: template expects one origin-arrival segment per row. Split into separate routes with route-specific figures if available.</t>
      </text>
    </comment>
    <comment ref="H11" authorId="14" shapeId="0" xr:uid="{4E8E2159-279A-46DA-B10D-5610DC376673}">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12" authorId="15" shapeId="0" xr:uid="{5A75FE2F-B699-4A3B-9FA3-FEF661310114}">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13" authorId="16" shapeId="0" xr:uid="{285C87DF-1D20-4BD5-BE02-EFACDC766E81}">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D14" authorId="17" shapeId="0" xr:uid="{29291401-4213-4900-8CDA-5559458FA30E}">
      <text>
        <t>[Threaded comment]
Your version of Excel allows you to read this threaded comment; however, any edits to it will get removed if the file is opened in a newer version of Excel. Learn more: https://go.microsoft.com/fwlink/?linkid=870924
Comment:
    Multiple or unresolved origins/destinations: template expects one origin-arrival segment per row. Split into separate routes with route-specific figures if available.</t>
      </text>
    </comment>
    <comment ref="H14" authorId="18" shapeId="0" xr:uid="{F4E258CA-2DEC-4AC5-A07C-C794D186014E}">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15" authorId="19" shapeId="0" xr:uid="{DC98EB6A-EEEE-4056-BD58-90036C4B6A8D}">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16" authorId="20" shapeId="0" xr:uid="{AFF1C103-5FFC-4716-B231-5691BF25C170}">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17" authorId="21" shapeId="0" xr:uid="{F8FEA1BC-2B0B-44C9-A9BA-CDCD4E181183}">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D18" authorId="22" shapeId="0" xr:uid="{3B37A8BF-FB62-44CE-8E9D-0ED7467D0E3F}">
      <text>
        <t>[Threaded comment]
Your version of Excel allows you to read this threaded comment; however, any edits to it will get removed if the file is opened in a newer version of Excel. Learn more: https://go.microsoft.com/fwlink/?linkid=870924
Comment:
    Multiple or unresolved origins/destinations: template expects one origin-arrival segment per row. Split into separate routes with route-specific figures if available.</t>
      </text>
    </comment>
    <comment ref="H18" authorId="23" shapeId="0" xr:uid="{4D70F14B-5941-4E80-909A-CB984E5DB277}">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 ref="H19" authorId="24" shapeId="0" xr:uid="{F3068DBF-F867-4102-8CA3-64C8B1FE9ACF}">
      <text>
        <t>[Threaded comment]
Your version of Excel allows you to read this threaded comment; however, any edits to it will get removed if the file is opened in a newer version of Excel. Learn more: https://go.microsoft.com/fwlink/?linkid=870924
Comment:
    Targeting not in source - confirm Yes/No.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tc={1CC2EAFA-F0DE-4067-86AC-0FBEE6C3D4F8}</author>
    <author>tc={FC03B2BF-FF41-49E5-B013-663354F3D5AD}</author>
    <author>tc={4A04AD6E-840E-47DB-8EBF-51E5C470BDB8}</author>
    <author>tc={F11D6943-8D4D-4F79-8E70-410CFFC9ABA0}</author>
    <author>tc={66765B49-C0CF-4520-A9A2-D66D72676CF0}</author>
    <author>tc={03341DD1-1FA7-438D-B915-2AF0B2E3FB87}</author>
    <author>tc={FBDC9987-A3C4-4486-880B-09D086AE1E31}</author>
    <author>tc={7AF66066-1BDA-40DD-9B80-7447CD813312}</author>
    <author>tc={0190A5B4-5026-4700-A6C3-F394ED0D4F75}</author>
    <author>tc={BF8E6DE3-A70D-427A-8F99-4298AAD54C3D}</author>
    <author>tc={FE0B56A0-75E6-4F85-811D-047C74440352}</author>
    <author>tc={96D535D6-B51E-417F-8B52-22DB7467F5CC}</author>
    <author>tc={42893BF9-0707-41C2-8194-BE928DF5EE9C}</author>
    <author>tc={D0FD3FC5-361F-49C9-8EE9-0C921BE4CE4A}</author>
    <author>tc={66D53EC5-CC28-475E-9354-E8E8EC384238}</author>
    <author>tc={B99819B5-01F7-4B7F-ABC0-2AB4D39070D9}</author>
    <author>tc={D57BA3C4-7E43-4EB4-9B75-A51CA025E047}</author>
    <author>tc={D8A813D2-FD6C-4F91-BF17-38ADD8F80072}</author>
    <author>tc={08A2866E-6B6D-471F-89E1-DD4A254EFF46}</author>
    <author>tc={7951B4EE-6C2D-4954-91E7-412921F4B745}</author>
    <author>tc={03020D2B-EDC9-4C1F-8AA0-85520FC9A9C1}</author>
    <author>tc={D61F3BC2-CF33-4153-A6AB-5A4755789BD8}</author>
    <author>tc={B1238EDB-A6B7-419D-A292-53E5AA9DFC28}</author>
    <author>tc={2BC94583-C351-4832-A59C-64B16160A4DC}</author>
    <author>tc={AB7D0E86-9020-47F1-8748-0E190808D5D3}</author>
    <author>tc={E2C217F5-7DCF-4810-9A6A-AD1CE5C2D56E}</author>
    <author>tc={0959E729-9692-4E41-99BE-E3FB85B0EB6B}</author>
    <author>tc={7437A78F-9277-46F5-A7CD-9D5413EC3206}</author>
    <author>tc={9723191E-1A0D-4CA0-94CD-1BA407D01F2A}</author>
    <author>tc={E3E2A178-7EEB-45AC-8F77-6C4D7893CFFB}</author>
    <author>tc={CFE031A2-E4B9-4EE0-A32F-D682834D0088}</author>
    <author>tc={886FA8AD-0E57-4B31-B224-55034638BBF6}</author>
    <author>tc={45E8A4D7-B6EA-496F-9DD7-310C74698D0E}</author>
    <author>tc={21A47D63-1266-4B07-B508-B94EFF0D5D80}</author>
    <author>tc={276ED8AF-4154-4116-9356-19AD4F8E1260}</author>
    <author>tc={17EF3AB4-9309-4D78-BBDC-A97DE4228F87}</author>
    <author>tc={0F2A2D9E-C87A-49AA-8D5B-B452B1542A5A}</author>
    <author>tc={7CADEAAF-DF00-41C5-BF73-94ADB03DCF52}</author>
    <author>tc={400BE5D9-81CC-4006-99B5-FC1E44287F86}</author>
    <author>tc={A7364C59-7126-47FB-B71C-660FFCA04628}</author>
    <author>tc={FA6A432C-01AD-40C0-A2B0-8B727D7FA17B}</author>
    <author>tc={95BA6737-6018-44D7-94D7-6CE16D106CE9}</author>
    <author>tc={25894748-A337-4B6B-8251-56286B78F609}</author>
    <author>tc={C6E96B32-17EF-476F-9A0E-4CDEE5EF1C4E}</author>
    <author>tc={5C51D193-0AF2-418A-B389-F1813D97B513}</author>
    <author>tc={EBBB9BE8-B972-4CB2-B5F7-D115795BE889}</author>
    <author>tc={697B0066-8C0B-44F3-B2CD-A0546F377B7C}</author>
    <author>tc={3792DB4E-AC6C-4824-B116-DB233EDCA00C}</author>
    <author>tc={CE09A129-8D79-4805-8C0B-DA98ED7663F2}</author>
    <author>tc={37B5415B-A80A-489D-87BB-D71BB23672CA}</author>
    <author>tc={B56D6741-F625-4A2B-8F8F-F98E9CEB055B}</author>
    <author>tc={9FF0D983-8AF4-4A99-80C7-CD6E43FB6280}</author>
    <author>tc={D6C2510D-D6A4-4E24-B1C5-77C68E252702}</author>
  </authors>
  <commentList>
    <comment ref="D2" authorId="0" shapeId="0" xr:uid="{1CC2EAFA-F0DE-4067-86AC-0FBEE6C3D4F8}">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E2" authorId="1" shapeId="0" xr:uid="{FC03B2BF-FF41-49E5-B013-663354F3D5AD}">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I2" authorId="2" shapeId="0" xr:uid="{4A04AD6E-840E-47DB-8EBF-51E5C470BDB8}">
      <text>
        <t>[Threaded comment]
Your version of Excel allows you to read this threaded comment; however, any edits to it will get removed if the file is opened in a newer version of Excel. Learn more: https://go.microsoft.com/fwlink/?linkid=870924
Comment:
    Observation count not in source.</t>
      </text>
    </comment>
    <comment ref="L2" authorId="3" shapeId="0" xr:uid="{F11D6943-8D4D-4F79-8E70-410CFFC9ABA0}">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I3" authorId="4" shapeId="0" xr:uid="{66765B49-C0CF-4520-A9A2-D66D72676CF0}">
      <text>
        <t>[Threaded comment]
Your version of Excel allows you to read this threaded comment; however, any edits to it will get removed if the file is opened in a newer version of Excel. Learn more: https://go.microsoft.com/fwlink/?linkid=870924
Comment:
    Observation count not in source.</t>
      </text>
    </comment>
    <comment ref="L3" authorId="5" shapeId="0" xr:uid="{03341DD1-1FA7-438D-B915-2AF0B2E3FB87}">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I4" authorId="6" shapeId="0" xr:uid="{FBDC9987-A3C4-4486-880B-09D086AE1E31}">
      <text>
        <t>[Threaded comment]
Your version of Excel allows you to read this threaded comment; however, any edits to it will get removed if the file is opened in a newer version of Excel. Learn more: https://go.microsoft.com/fwlink/?linkid=870924
Comment:
    Observation count not in source.</t>
      </text>
    </comment>
    <comment ref="L4" authorId="7" shapeId="0" xr:uid="{7AF66066-1BDA-40DD-9B80-7447CD813312}">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5" authorId="8" shapeId="0" xr:uid="{0190A5B4-5026-4700-A6C3-F394ED0D4F75}">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2026-05-10.</t>
      </text>
    </comment>
    <comment ref="E5" authorId="9" shapeId="0" xr:uid="{BF8E6DE3-A70D-427A-8F99-4298AAD54C3D}">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2026-05-11.</t>
      </text>
    </comment>
    <comment ref="L5" authorId="10" shapeId="0" xr:uid="{FE0B56A0-75E6-4F85-811D-047C74440352}">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6" authorId="11" shapeId="0" xr:uid="{96D535D6-B51E-417F-8B52-22DB7467F5CC}">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E6" authorId="12" shapeId="0" xr:uid="{42893BF9-0707-41C2-8194-BE928DF5EE9C}">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L6" authorId="13" shapeId="0" xr:uid="{D0FD3FC5-361F-49C9-8EE9-0C921BE4CE4A}">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7" authorId="14" shapeId="0" xr:uid="{66D53EC5-CC28-475E-9354-E8E8EC384238}">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2026-05-30.</t>
      </text>
    </comment>
    <comment ref="E7" authorId="15" shapeId="0" xr:uid="{B99819B5-01F7-4B7F-ABC0-2AB4D39070D9}">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2026-05-30.</t>
      </text>
    </comment>
    <comment ref="L7" authorId="16" shapeId="0" xr:uid="{D57BA3C4-7E43-4EB4-9B75-A51CA025E047}">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8" authorId="17" shapeId="0" xr:uid="{D8A813D2-FD6C-4F91-BF17-38ADD8F80072}">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E8" authorId="18" shapeId="0" xr:uid="{08A2866E-6B6D-471F-89E1-DD4A254EFF46}">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L8" authorId="19" shapeId="0" xr:uid="{7951B4EE-6C2D-4954-91E7-412921F4B745}">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9" authorId="20" shapeId="0" xr:uid="{03020D2B-EDC9-4C1F-8AA0-85520FC9A9C1}">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E9" authorId="21" shapeId="0" xr:uid="{D61F3BC2-CF33-4153-A6AB-5A4755789BD8}">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L9" authorId="22" shapeId="0" xr:uid="{B1238EDB-A6B7-419D-A292-53E5AA9DFC28}">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B10" authorId="23" shapeId="0" xr:uid="{2BC94583-C351-4832-A59C-64B16160A4DC}">
      <text>
        <t>[Threaded comment]
Your version of Excel allows you to read this threaded comment; however, any edits to it will get removed if the file is opened in a newer version of Excel. Learn more: https://go.microsoft.com/fwlink/?linkid=870924
Comment:
    Source file used 'Alert_SI_ANC_31072026_IDPs'; aligned to alert tracker ID.</t>
      </text>
    </comment>
    <comment ref="D10" authorId="24" shapeId="0" xr:uid="{AB7D0E86-9020-47F1-8748-0E190808D5D3}">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E10" authorId="25" shapeId="0" xr:uid="{E2C217F5-7DCF-4810-9A6A-AD1CE5C2D56E}">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L10" authorId="26" shapeId="0" xr:uid="{0959E729-9692-4E41-99BE-E3FB85B0EB6B}">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11" authorId="27" shapeId="0" xr:uid="{7437A78F-9277-46F5-A7CD-9D5413EC3206}">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E11" authorId="28" shapeId="0" xr:uid="{9723191E-1A0D-4CA0-94CD-1BA407D01F2A}">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blank.</t>
      </text>
    </comment>
    <comment ref="L11" authorId="29" shapeId="0" xr:uid="{E3E2A178-7EEB-45AC-8F77-6C4D7893CFFB}">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B12" authorId="30" shapeId="0" xr:uid="{CFE031A2-E4B9-4EE0-A32F-D682834D0088}">
      <text>
        <t>[Threaded comment]
Your version of Excel allows you to read this threaded comment; however, any edits to it will get removed if the file is opened in a newer version of Excel. Learn more: https://go.microsoft.com/fwlink/?linkid=870924
Comment:
    Source file used 'Alert_ACF_QUI_11082026_IDPs'; aligned to alert tracker ID.</t>
      </text>
    </comment>
    <comment ref="L12" authorId="31" shapeId="0" xr:uid="{886FA8AD-0E57-4B31-B224-55034638BBF6}">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B13" authorId="32" shapeId="0" xr:uid="{45E8A4D7-B6EA-496F-9DD7-310C74698D0E}">
      <text>
        <t>[Threaded comment]
Your version of Excel allows you to read this threaded comment; however, any edits to it will get removed if the file is opened in a newer version of Excel. Learn more: https://go.microsoft.com/fwlink/?linkid=870924
Comment:
    Source file used '[TBC] SI_ANC_Returnees_Aug2026'; aligned to alert tracker ID.</t>
      </text>
    </comment>
    <comment ref="D13" authorId="33" shapeId="0" xr:uid="{21A47D63-1266-4B07-B508-B94EFF0D5D80}">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2026-08-11.</t>
      </text>
    </comment>
    <comment ref="E13" authorId="34" shapeId="0" xr:uid="{276ED8AF-4154-4116-9356-19AD4F8E1260}">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2026-08-17.</t>
      </text>
    </comment>
    <comment ref="L13" authorId="35" shapeId="0" xr:uid="{17EF3AB4-9309-4D78-BBDC-A97DE4228F87}">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14" authorId="36" shapeId="0" xr:uid="{0F2A2D9E-C87A-49AA-8D5B-B452B1542A5A}">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2026-08-25.</t>
      </text>
    </comment>
    <comment ref="E14" authorId="37" shapeId="0" xr:uid="{7CADEAAF-DF00-41C5-BF73-94ADB03DCF52}">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2026-08-25.</t>
      </text>
    </comment>
    <comment ref="L14" authorId="38" shapeId="0" xr:uid="{400BE5D9-81CC-4006-99B5-FC1E44287F86}">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L15" authorId="39" shapeId="0" xr:uid="{A7364C59-7126-47FB-B71C-660FFCA04628}">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D16" authorId="40" shapeId="0" xr:uid="{FA6A432C-01AD-40C0-A2B0-8B727D7FA17B}">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2026-09-18.</t>
      </text>
    </comment>
    <comment ref="E16" authorId="41" shapeId="0" xr:uid="{95BA6737-6018-44D7-94D7-6CE16D106CE9}">
      <text>
        <t>[Threaded comment]
Your version of Excel allows you to read this threaded comment; however, any edits to it will get removed if the file is opened in a newer version of Excel. Learn more: https://go.microsoft.com/fwlink/?linkid=870924
Comment:
    Interview dates from RRM merged RNA dataset (RRM_merge_data.xlsx). Previous value: 2026-09-18.</t>
      </text>
    </comment>
    <comment ref="L16" authorId="42" shapeId="0" xr:uid="{25894748-A337-4B6B-8251-56286B78F609}">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B17" authorId="43" shapeId="0" xr:uid="{C6E96B32-17EF-476F-9A0E-4CDEE5EF1C4E}">
      <text>
        <t>[Threaded comment]
Your version of Excel allows you to read this threaded comment; however, any edits to it will get removed if the file is opened in a newer version of Excel. Learn more: https://go.microsoft.com/fwlink/?linkid=870924
Comment:
    Matches master alert list in severity workbook.</t>
      </text>
    </comment>
    <comment ref="H17" authorId="44" shapeId="0" xr:uid="{5C51D193-0AF2-418A-B389-F1813D97B513}">
      <text>
        <t>[Threaded comment]
Your version of Excel allows you to read this threaded comment; however, any edits to it will get removed if the file is opened in a newer version of Excel. Learn more: https://go.microsoft.com/fwlink/?linkid=870924
Comment:
    22 HESPER interviews from RRM merged RNA dataset (RRM_merge_data.xlsx) (not in the summary file).</t>
      </text>
    </comment>
    <comment ref="I17" authorId="45" shapeId="0" xr:uid="{EBBB9BE8-B972-4CB2-B5F7-D115795BE889}">
      <text>
        <t>[Threaded comment]
Your version of Excel allows you to read this threaded comment; however, any edits to it will get removed if the file is opened in a newer version of Excel. Learn more: https://go.microsoft.com/fwlink/?linkid=870924
Comment:
    Observation count not in source.</t>
      </text>
    </comment>
    <comment ref="K17" authorId="46" shapeId="0" xr:uid="{697B0066-8C0B-44F3-B2CD-A0546F377B7C}">
      <text>
        <t>[Threaded comment]
Your version of Excel allows you to read this threaded comment; however, any edits to it will get removed if the file is opened in a newer version of Excel. Learn more: https://go.microsoft.com/fwlink/?linkid=870924
Comment:
    Source text says HESPER not included; 22 HESPER interviews have since been added from the merged dataset. Update this limitation.</t>
      </text>
    </comment>
    <comment ref="L17" authorId="47" shapeId="0" xr:uid="{3792DB4E-AC6C-4824-B116-DB233EDCA00C}">
      <text>
        <t>[Threaded comment]
Your version of Excel allows you to read this threaded comment; however, any edits to it will get removed if the file is opened in a newer version of Excel. Learn more: https://go.microsoft.com/fwlink/?linkid=870924
Comment:
    response_use not available in source - partner to confirm how findings informed the response.</t>
      </text>
    </comment>
    <comment ref="A18" authorId="48" shapeId="0" xr:uid="{CE09A129-8D79-4805-8C0B-DA98ED7663F2}">
      <text>
        <t>[Threaded comment]
Your version of Excel allows you to read this threaded comment; however, any edits to it will get removed if the file is opened in a newer version of Excel. Learn more: https://go.microsoft.com/fwlink/?linkid=870924
Comment:
    New RNA added from merged dataset; assumed Tier 1.</t>
      </text>
    </comment>
    <comment ref="H18" authorId="49" shapeId="0" xr:uid="{37B5415B-A80A-489D-87BB-D71BB23672CA}">
      <text>
        <t>[Threaded comment]
Your version of Excel allows you to read this threaded comment; however, any edits to it will get removed if the file is opened in a newer version of Excel. Learn more: https://go.microsoft.com/fwlink/?linkid=870924
Comment:
    31 HESPER interviews: 29 tagged to the Mirate alert + 2 tagged Alert_SI_ANC_31072026_IDPs but collected in Montepuez on 11 Oct (confirmed as Mirate).</t>
      </text>
    </comment>
    <comment ref="I18" authorId="50" shapeId="0" xr:uid="{B56D6741-F625-4A2B-8F8F-F98E9CEB055B}">
      <text>
        <t>[Threaded comment]
Your version of Excel allows you to read this threaded comment; however, any edits to it will get removed if the file is opened in a newer version of Excel. Learn more: https://go.microsoft.com/fwlink/?linkid=870924
Comment:
    Observation count not identifiable in merged dataset.</t>
      </text>
    </comment>
    <comment ref="K18" authorId="51" shapeId="0" xr:uid="{9FF0D983-8AF4-4A99-80C7-CD6E43FB6280}">
      <text>
        <t>[Threaded comment]
Your version of Excel allows you to read this threaded comment; however, any edits to it will get removed if the file is opened in a newer version of Excel. Learn more: https://go.microsoft.com/fwlink/?linkid=870924
Comment:
    Limitations not available - add from RNA brief.</t>
      </text>
    </comment>
    <comment ref="L18" authorId="52" shapeId="0" xr:uid="{D6C2510D-D6A4-4E24-B1C5-77C68E252702}">
      <text>
        <t>[Threaded comment]
Your version of Excel allows you to read this threaded comment; however, any edits to it will get removed if the file is opened in a newer version of Excel. Learn more: https://go.microsoft.com/fwlink/?linkid=870924
Comment:
    response_use not available - partner to confirm.</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tc={7DE7142A-DC8E-490C-8994-D5A907DA1D52}</author>
    <author>tc={C3D4D1AD-A040-4775-B2BE-2C3A2F446A9B}</author>
    <author>tc={4E75D220-5F04-44F6-A83A-E7FE00E31270}</author>
    <author>tc={C9DCD5E4-5D6D-49DA-AED4-EEC3ECB8EEC1}</author>
    <author>tc={C068550E-DB03-4B29-8BD9-8FE04C9E2E24}</author>
    <author>tc={1745A202-B01B-4E20-BBFE-D48FA7D94ACD}</author>
    <author>tc={DA9C980A-BD46-48F0-B3C3-0D0CABD97700}</author>
    <author>tc={895D1C2C-264F-4E50-A601-CDDADFEB8409}</author>
    <author>tc={B837579D-05E1-4FB2-85FD-1BC46D4D65F1}</author>
    <author>tc={57EFE9E8-9799-408E-B2E5-5A883EA0A706}</author>
    <author>tc={D7CA5B8C-D822-4576-8649-97B9CAB95B84}</author>
    <author>tc={7F95FB08-1A0F-4BD9-B254-20AB467C0869}</author>
    <author>tc={E794CDEA-F166-439B-B03F-78CBCFF837F1}</author>
    <author>tc={F49D1A48-DB00-4CA9-8F83-A0256CE90FAE}</author>
    <author>tc={55F52136-74D4-4510-A007-1F725F2FD2C3}</author>
    <author>tc={92769A2B-88CC-465D-8433-4C030A798D21}</author>
    <author>tc={6B46851B-981D-43CC-BFE6-B207CB37207C}</author>
    <author>tc={7F1DFDB7-A315-411D-AC78-36570F177F53}</author>
    <author>tc={52B48EA7-33CF-4382-9DCF-6DB8B5359925}</author>
    <author>tc={544C446D-7677-4DA6-888A-B177DF7098E7}</author>
    <author>tc={4F42025F-7B95-4372-9D69-FFF559C4BA55}</author>
    <author>tc={D172B7AB-5FB7-4825-A320-898A4BD6A142}</author>
    <author>tc={6F94DF1C-635D-4E73-8D9B-3C6BC8C54244}</author>
    <author>tc={FC4DB6A6-676D-4D24-B397-98499D7A64C0}</author>
    <author>tc={D915FFC8-48E1-40AE-90E9-D4419243F031}</author>
    <author>tc={F11C81E2-4630-4677-B5F0-C988A3E8C6CE}</author>
    <author>tc={9F1D00F4-3463-4F1B-A3B5-BDBE840A0D90}</author>
    <author>tc={980E3D13-2A08-4926-9A39-FBB726445FE7}</author>
    <author>tc={B88299FC-F8B5-4EEB-9E0B-3DFC1E5653BD}</author>
    <author>tc={39634F1E-AA48-44FC-9875-E52CCCE263B1}</author>
    <author>tc={F18823F5-2CE0-4199-BF16-249BE2040555}</author>
    <author>tc={32ED98CF-A7FB-4FCA-B47F-50B967772B64}</author>
    <author>tc={80EBC000-A627-4A79-929B-C4C8AFBE414E}</author>
    <author>tc={72640D3E-9014-4A3A-9B56-A1F79A63A601}</author>
    <author>tc={2DBCBFB2-C522-46AF-877C-2E05FA440666}</author>
    <author>tc={3801A93B-6775-42FE-8DAB-46F3521E1429}</author>
    <author>tc={98E7F7A5-43E6-4929-8ADE-4CE3892476E9}</author>
    <author>tc={6FC333C2-5E2C-4121-9113-DC72A6E02B08}</author>
    <author>tc={6BE5BC9C-CCD3-43A5-865E-6A88F3965E5E}</author>
    <author>tc={25E519FA-9008-4C77-8BEE-056EF3EC40AB}</author>
    <author>tc={EE4AAD76-65EC-45A4-9F12-A4475B7EE9E4}</author>
    <author>tc={7F2B44AA-B321-465A-BFAD-B9D55613D5BF}</author>
    <author>tc={858E1770-E698-433C-B394-3C8EC8DD7FA9}</author>
    <author>tc={E479688F-B26C-46F7-9EA0-CE50E9231A56}</author>
    <author>tc={266CA6C4-1E59-4B5B-9763-35138BC2043C}</author>
    <author>tc={4B6CBCB9-8042-4B03-BDC4-0DD462D1905E}</author>
    <author>tc={26F46C5E-7C80-410B-A67A-654AFF09A67D}</author>
    <author>tc={2BE7577D-1675-4C0F-9181-EE0A8639B535}</author>
    <author>tc={F2C26BCA-8570-4FD5-9F34-C270C1251D13}</author>
    <author>tc={F37CA0AF-E034-40DD-96BE-76AB36F2AA79}</author>
    <author>tc={7F974AF8-EAE2-43B7-B150-2B25ADEDA406}</author>
    <author>tc={D0AE6942-DAE3-4A1A-9385-9D558DCAB877}</author>
    <author>tc={995449C6-0521-4DF9-A2AD-CE40528EF977}</author>
    <author>tc={302B4F69-1658-4C8D-A3D2-A9D2D450FE34}</author>
    <author>tc={FA58A380-8320-46E2-9C9F-3D8F29EF04FA}</author>
    <author>tc={C2DA2E7E-6CEB-4688-BDF6-D5FBE1762BA3}</author>
    <author>tc={3F3583E7-D118-4402-99B5-452CC941282B}</author>
    <author>tc={857E386A-85A0-483B-B929-219B60B24552}</author>
    <author>tc={CFCB13DF-7702-4F62-9749-4EFC32D35242}</author>
    <author>tc={2A4737FD-4495-4B8F-BCC6-E11186D7B8B8}</author>
    <author>tc={F6E014F9-F17C-4F49-848A-43303440FD78}</author>
    <author>tc={8BB38E4E-F551-4EF0-86C9-D1C477FC025A}</author>
    <author>tc={5EC6ECBE-DD35-4C6A-8E8E-A02EF0DFD144}</author>
    <author>tc={2DC921AB-0A08-402F-BFA3-36364A0EB018}</author>
    <author>tc={659840D0-EBF9-433A-970A-8F782E0D93C5}</author>
  </authors>
  <commentList>
    <comment ref="D14" authorId="0" shapeId="0" xr:uid="{7DE7142A-DC8E-490C-8994-D5A907DA1D52}">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15" authorId="1" shapeId="0" xr:uid="{C3D4D1AD-A040-4775-B2BE-2C3A2F446A9B}">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16" authorId="2" shapeId="0" xr:uid="{4E75D220-5F04-44F6-A83A-E7FE00E31270}">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17" authorId="3" shapeId="0" xr:uid="{C9DCD5E4-5D6D-49DA-AED4-EEC3ECB8EEC1}">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18" authorId="4" shapeId="0" xr:uid="{C068550E-DB03-4B29-8BD9-8FE04C9E2E24}">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19" authorId="5" shapeId="0" xr:uid="{1745A202-B01B-4E20-BBFE-D48FA7D94ACD}">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20" authorId="6" shapeId="0" xr:uid="{DA9C980A-BD46-48F0-B3C3-0D0CABD97700}">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21" authorId="7" shapeId="0" xr:uid="{895D1C2C-264F-4E50-A601-CDDADFEB8409}">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22" authorId="8" shapeId="0" xr:uid="{B837579D-05E1-4FB2-85FD-1BC46D4D65F1}">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23" authorId="9" shapeId="0" xr:uid="{57EFE9E8-9799-408E-B2E5-5A883EA0A706}">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24" authorId="10" shapeId="0" xr:uid="{D7CA5B8C-D822-4576-8649-97B9CAB95B84}">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25" authorId="11" shapeId="0" xr:uid="{7F95FB08-1A0F-4BD9-B254-20AB467C0869}">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B26" authorId="12" shapeId="0" xr:uid="{E794CDEA-F166-439B-B03F-78CBCFF837F1}">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26" authorId="13" shapeId="0" xr:uid="{F49D1A48-DB00-4CA9-8F83-A0256CE90FAE}">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27" authorId="14" shapeId="0" xr:uid="{55F52136-74D4-4510-A007-1F725F2FD2C3}">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28" authorId="15" shapeId="0" xr:uid="{92769A2B-88CC-465D-8433-4C030A798D21}">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29" authorId="16" shapeId="0" xr:uid="{6B46851B-981D-43CC-BFE6-B207CB37207C}">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29" authorId="17" shapeId="0" xr:uid="{7F1DFDB7-A315-411D-AC78-36570F177F53}">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D30" authorId="18" shapeId="0" xr:uid="{52B48EA7-33CF-4382-9DCF-6DB8B5359925}">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31" authorId="19" shapeId="0" xr:uid="{544C446D-7677-4DA6-888A-B177DF7098E7}">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D32" authorId="20" shapeId="0" xr:uid="{4F42025F-7B95-4372-9D69-FFF559C4BA55}">
      <text>
        <t>[Threaded comment]
Your version of Excel allows you to read this threaded comment; however, any edits to it will get removed if the file is opened in a newer version of Excel. Learn more: https://go.microsoft.com/fwlink/?linkid=870924
Comment:
    KII-only count recalculated from RRM merged RNA dataset (RRM_merge_data.xlsx) (Light RNA KIIs, excluding community interviews).</t>
      </text>
    </comment>
    <comment ref="C33" authorId="21" shapeId="0" xr:uid="{D172B7AB-5FB7-4825-A320-898A4BD6A142}">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34" authorId="22" shapeId="0" xr:uid="{6F94DF1C-635D-4E73-8D9B-3C6BC8C54244}">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34" authorId="23" shapeId="0" xr:uid="{FC4DB6A6-676D-4D24-B397-98499D7A64C0}">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35" authorId="24" shapeId="0" xr:uid="{D915FFC8-48E1-40AE-90E9-D4419243F031}">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36" authorId="25" shapeId="0" xr:uid="{F11C81E2-4630-4677-B5F0-C988A3E8C6CE}">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36" authorId="26" shapeId="0" xr:uid="{9F1D00F4-3463-4F1B-A3B5-BDBE840A0D90}">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37" authorId="27" shapeId="0" xr:uid="{980E3D13-2A08-4926-9A39-FBB726445FE7}">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38" authorId="28" shapeId="0" xr:uid="{B88299FC-F8B5-4EEB-9E0B-3DFC1E5653BD}">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39" authorId="29" shapeId="0" xr:uid="{39634F1E-AA48-44FC-9875-E52CCCE263B1}">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40" authorId="30" shapeId="0" xr:uid="{F18823F5-2CE0-4199-BF16-249BE2040555}">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40" authorId="31" shapeId="0" xr:uid="{32ED98CF-A7FB-4FCA-B47F-50B967772B64}">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41" authorId="32" shapeId="0" xr:uid="{80EBC000-A627-4A79-929B-C4C8AFBE414E}">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41" authorId="33" shapeId="0" xr:uid="{72640D3E-9014-4A3A-9B56-A1F79A63A601}">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42" authorId="34" shapeId="0" xr:uid="{2DBCBFB2-C522-46AF-877C-2E05FA440666}">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43" authorId="35" shapeId="0" xr:uid="{3801A93B-6775-42FE-8DAB-46F3521E1429}">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43" authorId="36" shapeId="0" xr:uid="{98E7F7A5-43E6-4929-8ADE-4CE3892476E9}">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44" authorId="37" shapeId="0" xr:uid="{6FC333C2-5E2C-4121-9113-DC72A6E02B08}">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44" authorId="38" shapeId="0" xr:uid="{6BE5BC9C-CCD3-43A5-865E-6A88F3965E5E}">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45" authorId="39" shapeId="0" xr:uid="{25E519FA-9008-4C77-8BEE-056EF3EC40AB}">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46" authorId="40" shapeId="0" xr:uid="{EE4AAD76-65EC-45A4-9F12-A4475B7EE9E4}">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46" authorId="41" shapeId="0" xr:uid="{7F2B44AA-B321-465A-BFAD-B9D55613D5BF}">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47" authorId="42" shapeId="0" xr:uid="{858E1770-E698-433C-B394-3C8EC8DD7FA9}">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48" authorId="43" shapeId="0" xr:uid="{E479688F-B26C-46F7-9EA0-CE50E9231A56}">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48" authorId="44" shapeId="0" xr:uid="{266CA6C4-1E59-4B5B-9763-35138BC2043C}">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49" authorId="45" shapeId="0" xr:uid="{4B6CBCB9-8042-4B03-BDC4-0DD462D1905E}">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50" authorId="46" shapeId="0" xr:uid="{26F46C5E-7C80-410B-A67A-654AFF09A67D}">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50" authorId="47" shapeId="0" xr:uid="{2BE7577D-1675-4C0F-9181-EE0A8639B535}">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B51" authorId="48" shapeId="0" xr:uid="{F2C26BCA-8570-4FD5-9F34-C270C1251D13}">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51" authorId="49" shapeId="0" xr:uid="{F37CA0AF-E034-40DD-96BE-76AB36F2AA79}">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C52" authorId="50" shapeId="0" xr:uid="{7F974AF8-EAE2-43B7-B150-2B25ADEDA406}">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E52" authorId="51" shapeId="0" xr:uid="{D0AE6942-DAE3-4A1A-9385-9D558DCAB877}">
      <text>
        <t>[Threaded comment]
Your version of Excel allows you to read this threaded comment; however, any edits to it will get removed if the file is opened in a newer version of Excel. Learn more: https://go.microsoft.com/fwlink/?linkid=870924
Comment:
    From RRM merged RNA dataset (RRM_merge_data.xlsx).</t>
      </text>
    </comment>
    <comment ref="F52" authorId="52" shapeId="0" xr:uid="{995449C6-0521-4DF9-A2AD-CE40528EF977}">
      <text>
        <t>[Threaded comment]
Your version of Excel allows you to read this threaded comment; however, any edits to it will get removed if the file is opened in a newer version of Excel. Learn more: https://go.microsoft.com/fwlink/?linkid=870924
Comment:
    From RRM merged RNA dataset (RRM_merge_data.xlsx).</t>
      </text>
    </comment>
    <comment ref="C53" authorId="53" shapeId="0" xr:uid="{302B4F69-1658-4C8D-A3D2-A9D2D450FE34}">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E53" authorId="54" shapeId="0" xr:uid="{FA58A380-8320-46E2-9C9F-3D8F29EF04FA}">
      <text>
        <t>[Threaded comment]
Your version of Excel allows you to read this threaded comment; however, any edits to it will get removed if the file is opened in a newer version of Excel. Learn more: https://go.microsoft.com/fwlink/?linkid=870924
Comment:
    From RRM merged RNA dataset (RRM_merge_data.xlsx).</t>
      </text>
    </comment>
    <comment ref="F53" authorId="55" shapeId="0" xr:uid="{C2DA2E7E-6CEB-4688-BDF6-D5FBE1762BA3}">
      <text>
        <t>[Threaded comment]
Your version of Excel allows you to read this threaded comment; however, any edits to it will get removed if the file is opened in a newer version of Excel. Learn more: https://go.microsoft.com/fwlink/?linkid=870924
Comment:
    From RRM merged RNA dataset (RRM_merge_data.xlsx).</t>
      </text>
    </comment>
    <comment ref="C54" authorId="56" shapeId="0" xr:uid="{3F3583E7-D118-4402-99B5-452CC941282B}">
      <text>
        <t>[Threaded comment]
Your version of Excel allows you to read this threaded comment; however, any edits to it will get removed if the file is opened in a newer version of Excel. Learn more: https://go.microsoft.com/fwlink/?linkid=870924
Comment:
    No reviewed combined ranking in source (KII and HESPER rankings differ or only one stream). Team to decide rank.</t>
      </text>
    </comment>
    <comment ref="E54" authorId="57" shapeId="0" xr:uid="{857E386A-85A0-483B-B929-219B60B24552}">
      <text>
        <t>[Threaded comment]
Your version of Excel allows you to read this threaded comment; however, any edits to it will get removed if the file is opened in a newer version of Excel. Learn more: https://go.microsoft.com/fwlink/?linkid=870924
Comment:
    From RRM merged RNA dataset (RRM_merge_data.xlsx).</t>
      </text>
    </comment>
    <comment ref="F54" authorId="58" shapeId="0" xr:uid="{CFCB13DF-7702-4F62-9749-4EFC32D35242}">
      <text>
        <t>[Threaded comment]
Your version of Excel allows you to read this threaded comment; however, any edits to it will get removed if the file is opened in a newer version of Excel. Learn more: https://go.microsoft.com/fwlink/?linkid=870924
Comment:
    From RRM merged RNA dataset (RRM_merge_data.xlsx).</t>
      </text>
    </comment>
    <comment ref="C55" authorId="59" shapeId="0" xr:uid="{2A4737FD-4495-4B8F-BCC6-E11186D7B8B8}">
      <text>
        <t>[Threaded comment]
Your version of Excel allows you to read this threaded comment; however, any edits to it will get removed if the file is opened in a newer version of Excel. Learn more: https://go.microsoft.com/fwlink/?linkid=870924
Comment:
    No reviewed combined ranking in source - team to decide rank.</t>
      </text>
    </comment>
    <comment ref="B56" authorId="60" shapeId="0" xr:uid="{F6E014F9-F17C-4F49-848A-43303440FD78}">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56" authorId="61" shapeId="0" xr:uid="{8BB38E4E-F551-4EF0-86C9-D1C477FC025A}">
      <text>
        <t>[Threaded comment]
Your version of Excel allows you to read this threaded comment; however, any edits to it will get removed if the file is opened in a newer version of Excel. Learn more: https://go.microsoft.com/fwlink/?linkid=870924
Comment:
    No reviewed combined ranking in source - team to decide rank.</t>
      </text>
    </comment>
    <comment ref="C57" authorId="62" shapeId="0" xr:uid="{5EC6ECBE-DD35-4C6A-8E8E-A02EF0DFD144}">
      <text>
        <t>[Threaded comment]
Your version of Excel allows you to read this threaded comment; however, any edits to it will get removed if the file is opened in a newer version of Excel. Learn more: https://go.microsoft.com/fwlink/?linkid=870924
Comment:
    No reviewed combined ranking in source - team to decide rank.</t>
      </text>
    </comment>
    <comment ref="B58" authorId="63" shapeId="0" xr:uid="{2DC921AB-0A08-402F-BFA3-36364A0EB018}">
      <text>
        <t>[Threaded comment]
Your version of Excel allows you to read this threaded comment; however, any edits to it will get removed if the file is opened in a newer version of Excel. Learn more: https://go.microsoft.com/fwlink/?linkid=870924
Comment:
    Need category mapped from a HESPER item (see ranking_note). Confirm the mapping.</t>
      </text>
    </comment>
    <comment ref="C58" authorId="64" shapeId="0" xr:uid="{659840D0-EBF9-433A-970A-8F782E0D93C5}">
      <text>
        <t>[Threaded comment]
Your version of Excel allows you to read this threaded comment; however, any edits to it will get removed if the file is opened in a newer version of Excel. Learn more: https://go.microsoft.com/fwlink/?linkid=870924
Comment:
    No reviewed combined ranking in source - team to decide rank.</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tc={9CF5D524-AF45-40FC-AE2B-8BD20601B3F6}</author>
    <author>tc={FAE6C923-7874-474F-A04A-2486392012C2}</author>
    <author>tc={47787D6A-EFD4-4E6D-9C68-530E66CC5DB4}</author>
    <author>tc={F135DB37-C74D-47BA-98F8-307666DA51B7}</author>
    <author>tc={86165561-7EAD-4CA5-B86D-8285DEDC91F8}</author>
    <author>tc={257E3A96-B2AF-4A1B-8671-578987AF62B4}</author>
    <author>tc={C3C386E4-2D88-4CBF-A958-250A0469EF2E}</author>
    <author>tc={2AC666EB-91F2-47F7-B091-79BA0ABB6856}</author>
    <author>tc={BF878834-A404-4A81-AF30-EA406CA3392E}</author>
    <author>tc={D971FD59-153B-4DC0-A986-1DC61C60B27A}</author>
    <author>tc={25FC4955-6CBB-4FB0-82FE-304452343828}</author>
    <author>tc={005921CD-B97E-4E70-9FB0-143BF091C910}</author>
    <author>tc={6478B98F-1C26-4E27-ABB8-17A93708D8A7}</author>
    <author>tc={5EF8E9AB-75AD-45E7-AF8F-250F34A19F20}</author>
    <author>tc={1454F10F-A512-43E9-BC9C-094A91F9D2F5}</author>
    <author>tc={45CC1771-60F3-4E0E-85BC-97BDE9F32E21}</author>
    <author>tc={D1EB370F-5D56-4E30-B37A-19E6AFE13A7F}</author>
    <author>tc={65A375FB-96CE-4AF0-9168-1C589675591F}</author>
    <author>tc={2E5074FB-94D3-4009-9D96-D8E25813D52D}</author>
    <author>tc={F0EDA2C6-F2DC-4CBA-B406-6C3435D148E5}</author>
    <author>tc={E79DB557-AA12-4359-B899-891F1558CD02}</author>
    <author>tc={2B1BD22B-7777-4F37-95D6-0D89C95562E0}</author>
    <author>tc={83341927-5BB5-4221-A399-2B5DC9B6F86D}</author>
    <author>tc={F4654725-3A4C-47CE-8690-7FE34DA32304}</author>
    <author>tc={13420A19-E1E9-48AF-BBEE-1C0D29382C8B}</author>
  </authors>
  <commentList>
    <comment ref="L16" authorId="0" shapeId="0" xr:uid="{9CF5D524-AF45-40FC-AE2B-8BD20601B3F6}">
      <text>
        <t>[Threaded comment]
Your version of Excel allows you to read this threaded comment; however, any edits to it will get removed if the file is opened in a newer version of Excel. Learn more: https://go.microsoft.com/fwlink/?linkid=870924
Comment:
    Funding scope 'None' in source - confirm.</t>
      </text>
    </comment>
    <comment ref="I27" authorId="1" shapeId="0" xr:uid="{FAE6C923-7874-474F-A04A-2486392012C2}">
      <text>
        <t>[Threaded comment]
Your version of Excel allows you to read this threaded comment; however, any edits to it will get removed if the file is opened in a newer version of Excel. Learn more: https://go.microsoft.com/fwlink/?linkid=870924
Comment:
    Households interviewed (monitoring/assessment), not households assisted - kept out of HH reach.</t>
      </text>
    </comment>
    <comment ref="L27" authorId="2" shapeId="0" xr:uid="{47787D6A-EFD4-4E6D-9C68-530E66CC5DB4}">
      <text>
        <t>[Threaded comment]
Your version of Excel allows you to read this threaded comment; however, any edits to it will get removed if the file is opened in a newer version of Excel. Learn more: https://go.microsoft.com/fwlink/?linkid=870924
Comment:
    Funding scope 'None' in source - confirm.</t>
      </text>
    </comment>
    <comment ref="I65" authorId="3" shapeId="0" xr:uid="{F135DB37-C74D-47BA-98F8-307666DA51B7}">
      <text>
        <t>[Threaded comment]
Your version of Excel allows you to read this threaded comment; however, any edits to it will get removed if the file is opened in a newer version of Excel. Learn more: https://go.microsoft.com/fwlink/?linkid=870924
Comment:
    Households interviewed (monitoring/assessment), not households assisted - kept out of HH reach.</t>
      </text>
    </comment>
    <comment ref="F66" authorId="4" shapeId="0" xr:uid="{86165561-7EAD-4CA5-B86D-8285DEDC91F8}">
      <text>
        <t>[Threaded comment]
Your version of Excel allows you to read this threaded comment; however, any edits to it will get removed if the file is opened in a newer version of Excel. Learn more: https://go.microsoft.com/fwlink/?linkid=870924
Comment:
    Activity start date not reported in source.</t>
      </text>
    </comment>
    <comment ref="H66" authorId="5" shapeId="0" xr:uid="{257E3A96-B2AF-4A1B-8671-578987AF62B4}">
      <text>
        <t>[Threaded comment]
Your version of Excel allows you to read this threaded comment; however, any edits to it will get removed if the file is opened in a newer version of Excel. Learn more: https://go.microsoft.com/fwlink/?linkid=870924
Comment:
    Quantity not reported in source (Data Check: Confirm activity dates; Output metric or quantity missing; Confirm funding scope; ). Reported people total: 3981.</t>
      </text>
    </comment>
    <comment ref="K66" authorId="6" shapeId="0" xr:uid="{C3C386E4-2D88-4CBF-A958-250A0469EF2E}">
      <text>
        <t>[Threaded comment]
Your version of Excel allows you to read this threaded comment; however, any edits to it will get removed if the file is opened in a newer version of Excel. Learn more: https://go.microsoft.com/fwlink/?linkid=870924
Comment:
    No activity dates in source - status unknown.</t>
      </text>
    </comment>
    <comment ref="L66" authorId="7" shapeId="0" xr:uid="{2AC666EB-91F2-47F7-B091-79BA0ABB6856}">
      <text>
        <t>[Threaded comment]
Your version of Excel allows you to read this threaded comment; however, any edits to it will get removed if the file is opened in a newer version of Excel. Learn more: https://go.microsoft.com/fwlink/?linkid=870924
Comment:
    Funding scope 'Unconfirmed' in source - confirm.</t>
      </text>
    </comment>
    <comment ref="F67" authorId="8" shapeId="0" xr:uid="{BF878834-A404-4A81-AF30-EA406CA3392E}">
      <text>
        <t>[Threaded comment]
Your version of Excel allows you to read this threaded comment; however, any edits to it will get removed if the file is opened in a newer version of Excel. Learn more: https://go.microsoft.com/fwlink/?linkid=870924
Comment:
    Activity start date not reported in source.</t>
      </text>
    </comment>
    <comment ref="H67" authorId="9" shapeId="0" xr:uid="{D971FD59-153B-4DC0-A986-1DC61C60B27A}">
      <text>
        <t>[Threaded comment]
Your version of Excel allows you to read this threaded comment; however, any edits to it will get removed if the file is opened in a newer version of Excel. Learn more: https://go.microsoft.com/fwlink/?linkid=870924
Comment:
    Quantity not reported in source (Data Check: Confirm activity dates; Output metric or quantity missing; Confirm people counting basis; Confirm funding scope; ). Reported people total: 1442.</t>
      </text>
    </comment>
    <comment ref="K67" authorId="10" shapeId="0" xr:uid="{25FC4955-6CBB-4FB0-82FE-304452343828}">
      <text>
        <t>[Threaded comment]
Your version of Excel allows you to read this threaded comment; however, any edits to it will get removed if the file is opened in a newer version of Excel. Learn more: https://go.microsoft.com/fwlink/?linkid=870924
Comment:
    No activity dates in source - status unknown.</t>
      </text>
    </comment>
    <comment ref="L67" authorId="11" shapeId="0" xr:uid="{005921CD-B97E-4E70-9FB0-143BF091C910}">
      <text>
        <t>[Threaded comment]
Your version of Excel allows you to read this threaded comment; however, any edits to it will get removed if the file is opened in a newer version of Excel. Learn more: https://go.microsoft.com/fwlink/?linkid=870924
Comment:
    Funding scope 'Unconfirmed' in source - confirm.</t>
      </text>
    </comment>
    <comment ref="F68" authorId="12" shapeId="0" xr:uid="{6478B98F-1C26-4E27-ABB8-17A93708D8A7}">
      <text>
        <t>[Threaded comment]
Your version of Excel allows you to read this threaded comment; however, any edits to it will get removed if the file is opened in a newer version of Excel. Learn more: https://go.microsoft.com/fwlink/?linkid=870924
Comment:
    Activity start date not reported in source.</t>
      </text>
    </comment>
    <comment ref="K68" authorId="13" shapeId="0" xr:uid="{5EF8E9AB-75AD-45E7-AF8F-250F34A19F20}">
      <text>
        <t>[Threaded comment]
Your version of Excel allows you to read this threaded comment; however, any edits to it will get removed if the file is opened in a newer version of Excel. Learn more: https://go.microsoft.com/fwlink/?linkid=870924
Comment:
    No activity dates in source - status unknown.</t>
      </text>
    </comment>
    <comment ref="H71" authorId="14" shapeId="0" xr:uid="{1454F10F-A512-43E9-BC9C-094A91F9D2F5}">
      <text>
        <t>[Threaded comment]
Your version of Excel allows you to read this threaded comment; however, any edits to it will get removed if the file is opened in a newer version of Excel. Learn more: https://go.microsoft.com/fwlink/?linkid=870924
Comment:
    Quantity not reported in source (Data Check: Output metric or quantity missing; ). Reported people total: None.</t>
      </text>
    </comment>
    <comment ref="H72" authorId="15" shapeId="0" xr:uid="{45CC1771-60F3-4E0E-85BC-97BDE9F32E21}">
      <text>
        <t>[Threaded comment]
Your version of Excel allows you to read this threaded comment; however, any edits to it will get removed if the file is opened in a newer version of Excel. Learn more: https://go.microsoft.com/fwlink/?linkid=870924
Comment:
    Quantity not reported in source (Data Check: Output metric or quantity missing; ). Reported people total: None.</t>
      </text>
    </comment>
    <comment ref="A73" authorId="16" shapeId="0" xr:uid="{D1EB370F-5D56-4E30-B37A-19E6AFE13A7F}">
      <text>
        <t>[Threaded comment]
Your version of Excel allows you to read this threaded comment; however, any edits to it will get removed if the file is opened in a newer version of Excel. Learn more: https://go.microsoft.com/fwlink/?linkid=870924
Comment:
    From Extra Outputs for ACF-2026-0008 ('Households interviewed'). Not households assisted - confirm whether these are the assisted households.</t>
      </text>
    </comment>
    <comment ref="H74" authorId="17" shapeId="0" xr:uid="{65A375FB-96CE-4AF0-9168-1C589675591F}">
      <text>
        <t>[Threaded comment]
Your version of Excel allows you to read this threaded comment; however, any edits to it will get removed if the file is opened in a newer version of Excel. Learn more: https://go.microsoft.com/fwlink/?linkid=870924
Comment:
    Quantity not reported in source (Data Check: Output metric or quantity missing; ). Reported people total: None.</t>
      </text>
    </comment>
    <comment ref="A75" authorId="18" shapeId="0" xr:uid="{2E5074FB-94D3-4009-9D96-D8E25813D52D}">
      <text>
        <t>[Threaded comment]
Your version of Excel allows you to read this threaded comment; however, any edits to it will get removed if the file is opened in a newer version of Excel. Learn more: https://go.microsoft.com/fwlink/?linkid=870924
Comment:
    From Extra Outputs for ACF-2026-0009 ('Households interviewed'). Not households assisted - confirm whether these are the assisted households.</t>
      </text>
    </comment>
    <comment ref="H76" authorId="19" shapeId="0" xr:uid="{F0EDA2C6-F2DC-4CBA-B406-6C3435D148E5}">
      <text>
        <t>[Threaded comment]
Your version of Excel allows you to read this threaded comment; however, any edits to it will get removed if the file is opened in a newer version of Excel. Learn more: https://go.microsoft.com/fwlink/?linkid=870924
Comment:
    Quantity not reported in source (Data Check: Output metric or quantity missing; ). Reported people total: None.</t>
      </text>
    </comment>
    <comment ref="A77" authorId="20" shapeId="0" xr:uid="{E79DB557-AA12-4359-B899-891F1558CD02}">
      <text>
        <t>[Threaded comment]
Your version of Excel allows you to read this threaded comment; however, any edits to it will get removed if the file is opened in a newer version of Excel. Learn more: https://go.microsoft.com/fwlink/?linkid=870924
Comment:
    From Extra Outputs for ACF-2026-0010 ('Households interviewed'). Not households assisted - confirm whether these are the assisted households.</t>
      </text>
    </comment>
    <comment ref="A79" authorId="21" shapeId="0" xr:uid="{2B1BD22B-7777-4F37-95D6-0D89C95562E0}">
      <text>
        <t>[Threaded comment]
Your version of Excel allows you to read this threaded comment; however, any edits to it will get removed if the file is opened in a newer version of Excel. Learn more: https://go.microsoft.com/fwlink/?linkid=870924
Comment:
    From Extra Outputs for SI-2026-0001 ('Households interviewed'). Not households assisted - confirm whether these are the assisted households.</t>
      </text>
    </comment>
    <comment ref="I80" authorId="22" shapeId="0" xr:uid="{83341927-5BB5-4221-A399-2B5DC9B6F86D}">
      <text>
        <t>[Threaded comment]
Your version of Excel allows you to read this threaded comment; however, any edits to it will get removed if the file is opened in a newer version of Excel. Learn more: https://go.microsoft.com/fwlink/?linkid=870924
Comment:
    Source unit is 'Water delivered' with quantity 1 (one borehole rehabilitated). Unit should be e.g. facilities or litres - confirm.</t>
      </text>
    </comment>
    <comment ref="I81" authorId="23" shapeId="0" xr:uid="{F4654725-3A4C-47CE-8690-7FE34DA32304}">
      <text>
        <t>[Threaded comment]
Your version of Excel allows you to read this threaded comment; however, any edits to it will get removed if the file is opened in a newer version of Excel. Learn more: https://go.microsoft.com/fwlink/?linkid=870924
Comment:
    Source unit is 'Water delivered' with quantity 1 (one borehole rehabilitated). Unit should be e.g. facilities or litres - confirm.</t>
      </text>
    </comment>
    <comment ref="I82" authorId="24" shapeId="0" xr:uid="{13420A19-E1E9-48AF-BBEE-1C0D29382C8B}">
      <text>
        <t>[Threaded comment]
Your version of Excel allows you to read this threaded comment; however, any edits to it will get removed if the file is opened in a newer version of Excel. Learn more: https://go.microsoft.com/fwlink/?linkid=870924
Comment:
    Source unit is 'Water delivered' with quantity 1 (one borehole rehabilitated). Unit should be e.g. facilities or litres - confirm.</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tc={BF775FBE-F346-490C-BDDB-1111C29FBA3A}</author>
  </authors>
  <commentList>
    <comment ref="A2" authorId="0" shapeId="0" xr:uid="{BF775FBE-F346-490C-BDDB-1111C29FBA3A}">
      <text>
        <t>[Threaded comment]
Your version of Excel allows you to read this threaded comment; however, any edits to it will get removed if the file is opened in a newer version of Excel. Learn more: https://go.microsoft.com/fwlink/?linkid=870924
Comment:
    Still demo. Switch to operational and update source_updated/source_version once all demo rows are replaced.</t>
      </text>
    </comment>
  </commentList>
</comments>
</file>

<file path=xl/sharedStrings.xml><?xml version="1.0" encoding="utf-8"?>
<sst xmlns="http://schemas.openxmlformats.org/spreadsheetml/2006/main" count="2229" uniqueCount="597">
  <si>
    <t>assessment_id</t>
  </si>
  <si>
    <t>need</t>
  </si>
  <si>
    <t>rank</t>
  </si>
  <si>
    <t>kii_summary</t>
  </si>
  <si>
    <t>hesper_serious</t>
  </si>
  <si>
    <t>hesper_valid</t>
  </si>
  <si>
    <t>ranking_note</t>
  </si>
  <si>
    <t>RNA-2026-001</t>
  </si>
  <si>
    <t>Food</t>
  </si>
  <si>
    <t>Cited in top three by 36/38 KIs</t>
  </si>
  <si>
    <t>Reviewed top three: KIs citing in top three priority needs, n=38 (Food 36, Shelter 33, Safe water 21)</t>
  </si>
  <si>
    <t>Shelter</t>
  </si>
  <si>
    <t>Cited in top three by 33/38 KIs</t>
  </si>
  <si>
    <t>Water</t>
  </si>
  <si>
    <t>Cited in top three by 21/38 KIs</t>
  </si>
  <si>
    <t>RNA-2026-002</t>
  </si>
  <si>
    <t>Cited in top three by 15/15 KIs</t>
  </si>
  <si>
    <t>Reviewed top three: KIs citing in top three priority needs, n=15 (Food 15, Shelter 13, NFIs 10)</t>
  </si>
  <si>
    <t>Cited in top three by 13/15 KIs</t>
  </si>
  <si>
    <t>NFI</t>
  </si>
  <si>
    <t>Cited in top three by 10/15 KIs</t>
  </si>
  <si>
    <t>RNA-2026-003</t>
  </si>
  <si>
    <t>KII priority 1 (KIs: 14/14)</t>
  </si>
  <si>
    <t>Reviewed ranking from household survey (n=100, HH citing in top three: Food 100, Shelter 92, Health 28) - not HESPER. KII priority 2 (NFI) not in reviewed top three.</t>
  </si>
  <si>
    <t>KII priority 3</t>
  </si>
  <si>
    <t>Health</t>
  </si>
  <si>
    <t>Not ranked by KIIs</t>
  </si>
  <si>
    <t>RNA-2026-004</t>
  </si>
  <si>
    <t>Reviewed top three: KIs citing in top three priority needs, n=15 (Shelter 15, NFI 15, Food 14)</t>
  </si>
  <si>
    <t>Cited in top three by 14/15 KIs</t>
  </si>
  <si>
    <t>RNA-2026-005</t>
  </si>
  <si>
    <t>KII joint rank 1 (KIs: 5/5 in top 3; 4/5 ranked 1st)</t>
  </si>
  <si>
    <t>Reviewed top three: Report synthesis across KIIs and community interviews</t>
  </si>
  <si>
    <t>KII joint rank 1 (KIs: 5/5 in top 3; 1/5 ranked 1st)</t>
  </si>
  <si>
    <t>KII rank 3 (KIs: 2/5 in top 3)</t>
  </si>
  <si>
    <t>RNA-2026-006</t>
  </si>
  <si>
    <t>KII joint rank 1 (KIs: 4/5 in top 3; 4/5 ranked 1st)</t>
  </si>
  <si>
    <t>Reviewed top three: Report synthesis across KIIs and community interviews (Food, Shelter/NFIs, Health &amp; nutrition support)</t>
  </si>
  <si>
    <t>KII joint rank 1 (KIs: 4/5 in top 3; 1/5 ranked 1st)</t>
  </si>
  <si>
    <t>KII joint rank 3 (KIs: 2/5 in top 3)</t>
  </si>
  <si>
    <t>RNA-2026-007</t>
  </si>
  <si>
    <t>KII rank 1 (KIs: 10/10 in top 3; 10/10 ranked 1st)</t>
  </si>
  <si>
    <t>KII joint rank 2 (KIs: 5/10 in top 3)</t>
  </si>
  <si>
    <t>RNA-2026-008</t>
  </si>
  <si>
    <t>KII rank 1 (KIs: 12/12 in top 3; 11/12 ranked 1st)</t>
  </si>
  <si>
    <t>KII rank 2 (KIs: 10/12 in top 3; 1/12 ranked 1st)</t>
  </si>
  <si>
    <t>KII joint rank 3 (KIs: 3/12 in top 3)</t>
  </si>
  <si>
    <t>RNA-2026-009</t>
  </si>
  <si>
    <t>KII priority 1 (KIs: 4/4 in top 3)</t>
  </si>
  <si>
    <t>No reviewed combined top three in source - rank left blank for team decision. HESPER item 'Place to live in' mapped to Shelter.</t>
  </si>
  <si>
    <t>KII priority 2</t>
  </si>
  <si>
    <t>No reviewed combined top three in source - rank left blank for team decision.</t>
  </si>
  <si>
    <t>No reviewed combined top three in source - rank left blank for team decision. Not among HESPER top three problems recorded; HESPER count unknown.</t>
  </si>
  <si>
    <t>No reviewed combined top three in source - rank left blank for team decision. HESPER item 'Clothes, shoes, bedding or blankets' mapped to NFI.</t>
  </si>
  <si>
    <t>RNA-2026-010</t>
  </si>
  <si>
    <t>KII rank 1 (KIs: 11/11 in top 3; 7/11 ranked 1st)</t>
  </si>
  <si>
    <t>Reviewed ranking from report synthesis: community interviews top three Food 14/14, Shelter 14/14, NFI 11/14 (pre-HESPER, not HESPER).</t>
  </si>
  <si>
    <t>KII rank 2 (KIs: 10/11 in top 3; 4/11 ranked 1st)</t>
  </si>
  <si>
    <t>KII rank 5 (KIs: 2/11 in top 3)</t>
  </si>
  <si>
    <t>RNA-2026-011</t>
  </si>
  <si>
    <t>KII priority 1 (KIs: 4/5 in top 3)</t>
  </si>
  <si>
    <t>No reviewed combined top three in source - rank left blank for team decision. HESPER item 'Drinking water' mapped to Water.</t>
  </si>
  <si>
    <t>Sanitation</t>
  </si>
  <si>
    <t>No reviewed combined top three in source - rank left blank for team decision. HESPER item 'Toilets' mapped to Sanitation.</t>
  </si>
  <si>
    <t>RNA-2026-012</t>
  </si>
  <si>
    <t>KII priority 1 (KIs: 8/8 in top 3)</t>
  </si>
  <si>
    <t>RNA-2026-013</t>
  </si>
  <si>
    <t>No KI priority selection</t>
  </si>
  <si>
    <t>RNA-2026-014</t>
  </si>
  <si>
    <t>KII priority 1 (KIs: 1/1)</t>
  </si>
  <si>
    <t>Livelihoods</t>
  </si>
  <si>
    <t>RNA-2026-015</t>
  </si>
  <si>
    <t>KII priority 1 (KIs: 4/4 in top 3 (3/4 ranked 1st))</t>
  </si>
  <si>
    <t>RNA-2026-016</t>
  </si>
  <si>
    <t>KII priority 1 (KIs: 12/12 in top 3 (9/12 ranked 1st))</t>
  </si>
  <si>
    <t>No reviewed combined top three in source - rank left blank for team decision. HESPER = HH citing problem in top 3 priorities (n=22), from merged raw dataset.</t>
  </si>
  <si>
    <t>No reviewed combined top three in source - rank left blank for team decision. HESPER = HH citing problem in top 3 priorities (n=22), from merged raw dataset. HESPER item 'Drinking water' mapped to Water.</t>
  </si>
  <si>
    <t>No reviewed combined top three in source - rank left blank for team decision. HESPER = HH citing problem in top 3 priorities (n=22), from merged raw dataset. HESPER item 'Place to live in' mapped to Shelter.</t>
  </si>
  <si>
    <t>RNA-2026-017</t>
  </si>
  <si>
    <t>KII priority 1 (KIs: 12/12 in top 3; 7/12 ranked 1st)</t>
  </si>
  <si>
    <t>No reviewed combined top three in source - rank left blank for team decision. Counts recalculated from merged raw dataset: KII = KIs citing need in top 3 (n=12); HESPER = HH citing problem in top 3 priorities (n=31, incl. 2 rows re-tagged from SI Ancuabe 31 Jul).</t>
  </si>
  <si>
    <t>KII priority 2 (KIs: 11/12 in top 3)</t>
  </si>
  <si>
    <t>No reviewed combined top three in source - rank left blank for team decision. Counts recalculated from merged raw dataset: KII = KIs citing need in top 3 (n=12); HESPER = HH citing problem in top 3 priorities (n=31, incl. 2 rows re-tagged from SI Ancuabe 31 Jul). HESPER item 'Place to live in' mapped to Shelter.</t>
  </si>
  <si>
    <t>KII priority 3 (KIs: 7/12 in top 3)</t>
  </si>
  <si>
    <t>No reviewed combined top three in source - rank left blank for team decision. Counts recalculated from merged raw dataset: KII = KIs citing need in top 3 (n=12); HESPER = HH citing problem in top 3 priorities (n=31, incl. 2 rows re-tagged from SI Ancuabe 31 Jul). Not among HESPER top three problems recorded; HESPER count unknown.</t>
  </si>
  <si>
    <t>No reviewed combined top three in source - rank left blank for team decision. Counts recalculated from merged raw dataset: KII = KIs citing need in top 3 (n=12); HESPER = HH citing problem in top 3 priorities (n=31, incl. 2 rows re-tagged from SI Ancuabe 31 Jul). HESPER item 'Drinking water' mapped to Water.</t>
  </si>
  <si>
    <t>RRM dashboard input</t>
  </si>
  <si>
    <t>EXAMPLE DATA ONLY</t>
  </si>
  <si>
    <t>Purpose</t>
  </si>
  <si>
    <t>Consolidated inputs for the core dashboard. Every supplied record and route coordinate is fictional.</t>
  </si>
  <si>
    <t>How to start</t>
  </si>
  <si>
    <t>Copy this file to data/RRM_Dashboard_Input.xlsx inside the app project, or set RRM_INPUT_WORKBOOK to its full path.</t>
  </si>
  <si>
    <t>Mode</t>
  </si>
  <si>
    <t>Metadata.mode is demo for this example. For real inputs, replace every example record and set mode to operational.</t>
  </si>
  <si>
    <t>Deployment</t>
  </si>
  <si>
    <t>Save, close the workbook and restart locally. On shinyapps.io, include the input file when deploying and republish after updates.</t>
  </si>
  <si>
    <t>Source separation</t>
  </si>
  <si>
    <t>Reporting workbook remains a separate real intervention source. This file feeds Dashboard overview and the other core pages.</t>
  </si>
  <si>
    <t>Headers</t>
  </si>
  <si>
    <t>Keep worksheet names and row 1 headers exactly as supplied. Add records below row 1. Do not add titles or totals inside input sheets.</t>
  </si>
  <si>
    <t>Dates and numbers</t>
  </si>
  <si>
    <t>Enter real Excel dates displayed yyyy-mm-dd, or ISO date text. Counts are whole non-negative numbers. Blank means unknown, not zero.</t>
  </si>
  <si>
    <t>Identifiers</t>
  </si>
  <si>
    <t>Keep stable IDs. alert_id links pages; assessment_id links needs; route_id links origin and arrival coordinates.</t>
  </si>
  <si>
    <t>Locations</t>
  </si>
  <si>
    <t>Use supplied Pcodes or reference names for administrative areas. Each coordinate must match its route endpoint name.</t>
  </si>
  <si>
    <t>Coordinate review</t>
  </si>
  <si>
    <t>Use Demo only in demo mode. Operational points require Confirmed status, coordinates and provenance. Pending/Rejected points are not drawn.</t>
  </si>
  <si>
    <t>Profile review</t>
  </si>
  <si>
    <t>Use TRUE only for reviewed aggregate narratives. No household-level personal records belong in this workbook.</t>
  </si>
  <si>
    <t>Empty sources</t>
  </si>
  <si>
    <t>Keep the exact headers and delete all data rows when a source is unavailable. Metadata always needs one populated row.</t>
  </si>
  <si>
    <t>Updates</t>
  </si>
  <si>
    <t>The consolidated input is read at app startup. It does not update automatically while the app is running.</t>
  </si>
  <si>
    <t>Workbook formulas</t>
  </si>
  <si>
    <t>Use entered values in input tables. Dashboard calculations and validation run in R.</t>
  </si>
  <si>
    <t>Field guide</t>
  </si>
  <si>
    <t>The Field Guide sheet describes keys, types and controlled options. Dropdowns are provided through row 1000.</t>
  </si>
  <si>
    <t>Sheet</t>
  </si>
  <si>
    <t>One row represents</t>
  </si>
  <si>
    <t>Coverage</t>
  </si>
  <si>
    <t>One territorial responsibility per partner and effective period.</t>
  </si>
  <si>
    <t>Alerts</t>
  </si>
  <si>
    <t>One alert, with separate initial and RNA-stage evidence.</t>
  </si>
  <si>
    <t>Routes</t>
  </si>
  <si>
    <t>One disjoint origin–arrival segment per alert and stage.</t>
  </si>
  <si>
    <t>Route Locations</t>
  </si>
  <si>
    <t>One coordinate record per route endpoint. Origin and arrival use separate rows.</t>
  </si>
  <si>
    <t>Assessments</t>
  </si>
  <si>
    <t>One RNA assessment round linked to an alert.</t>
  </si>
  <si>
    <t>Needs</t>
  </si>
  <si>
    <t>One ranked need per assessment. KII and HESPER remain separate evidence streams.</t>
  </si>
  <si>
    <t>Screening</t>
  </si>
  <si>
    <t>One decision/profile record per alert, community and population group.</t>
  </si>
  <si>
    <t>Activities</t>
  </si>
  <si>
    <t>One intervention/output metric. Keep households, kits and consultations in separate rows.</t>
  </si>
  <si>
    <t>Transfers</t>
  </si>
  <si>
    <t>One responsibility transfer. Transfers add no reach.</t>
  </si>
  <si>
    <t>Metadata</t>
  </si>
  <si>
    <t>Exactly one row identifying mode, source date, version and methods.</t>
  </si>
  <si>
    <t>assignment_id</t>
  </si>
  <si>
    <t>area</t>
  </si>
  <si>
    <t>partner</t>
  </si>
  <si>
    <t>role</t>
  </si>
  <si>
    <t>effective_from</t>
  </si>
  <si>
    <t>effective_to</t>
  </si>
  <si>
    <t>source_version</t>
  </si>
  <si>
    <t>C01</t>
  </si>
  <si>
    <t>Area 1</t>
  </si>
  <si>
    <t>Partner A</t>
  </si>
  <si>
    <t>Primary</t>
  </si>
  <si>
    <t>DEMO-v1</t>
  </si>
  <si>
    <t>C02</t>
  </si>
  <si>
    <t>Area 2</t>
  </si>
  <si>
    <t>Secondary</t>
  </si>
  <si>
    <t>C03</t>
  </si>
  <si>
    <t>Partner B</t>
  </si>
  <si>
    <t>C04</t>
  </si>
  <si>
    <t>Area 3</t>
  </si>
  <si>
    <t>Partner C</t>
  </si>
  <si>
    <t>C05</t>
  </si>
  <si>
    <t>Area 4</t>
  </si>
  <si>
    <t>C06</t>
  </si>
  <si>
    <t>Area 5</t>
  </si>
  <si>
    <t>C07</t>
  </si>
  <si>
    <t>Area 7</t>
  </si>
  <si>
    <t>Unknown</t>
  </si>
  <si>
    <t>C08</t>
  </si>
  <si>
    <t>Area 6</t>
  </si>
  <si>
    <t>C09</t>
  </si>
  <si>
    <t>Partner J</t>
  </si>
  <si>
    <t>DEMO-v2</t>
  </si>
  <si>
    <t>alert_id</t>
  </si>
  <si>
    <t>alert_date</t>
  </si>
  <si>
    <t>trigger</t>
  </si>
  <si>
    <t>gla</t>
  </si>
  <si>
    <t>movement</t>
  </si>
  <si>
    <t>alert_hh</t>
  </si>
  <si>
    <t>alert_people</t>
  </si>
  <si>
    <t>alert_severity</t>
  </si>
  <si>
    <t>alert_evidence_date</t>
  </si>
  <si>
    <t>rna_hh</t>
  </si>
  <si>
    <t>rna_people</t>
  </si>
  <si>
    <t>rna_severity</t>
  </si>
  <si>
    <t>rna_evidence_date</t>
  </si>
  <si>
    <t>rationale</t>
  </si>
  <si>
    <t>related_alert</t>
  </si>
  <si>
    <t>overlap_status</t>
  </si>
  <si>
    <t>RRM_IOMDTM_MULTI-DISTRICT_18042026_IDP</t>
  </si>
  <si>
    <t>Conflict</t>
  </si>
  <si>
    <t>IOM/DTM</t>
  </si>
  <si>
    <t>IDP</t>
  </si>
  <si>
    <t>Moderate</t>
  </si>
  <si>
    <t>High</t>
  </si>
  <si>
    <t>Alert stage: Clear needs and vulnerable groups, but limited evidence on actual severity of current conditions at the destinations. RNA stage: RNA demonstrates several simultaneous serious current needs at the assessed arrival location; other destinations were not reassessed. Alert caseload: 177 HH / 573 people. RNA caseload: 177 HH / 573 people retained; no replacement alert-wide caseload.</t>
  </si>
  <si>
    <t>No</t>
  </si>
  <si>
    <t>RRM_NRC_NANGADE_22042026_IDP</t>
  </si>
  <si>
    <t>NRC</t>
  </si>
  <si>
    <t>Alert stage: Needs were largely generic and no severe current deprivation at Mualela was yet demonstrated. RNA stage: RNA converts generic needs into evidence of multiple serious current gaps in food, shelter and WASH. Alert caseload: ~190 HH. RNA caseload: 227 affected HH across Nangade.</t>
  </si>
  <si>
    <t>RRM_SCI_MTAMBA_28042026_IDP</t>
  </si>
  <si>
    <t>SCI</t>
  </si>
  <si>
    <t>Alert stage: Additional hosting pressure is plausible, but actual current living conditions were insufficiently described. Alert caseload: 80 HH linked to Mitope; ~140 other recent arrivals already at centre. Notes: Arrival district/AP remains TBC.</t>
  </si>
  <si>
    <t>Potential</t>
  </si>
  <si>
    <t>RRM_SI_ANCUABE_04052026_IDP</t>
  </si>
  <si>
    <t>SI</t>
  </si>
  <si>
    <t>Critical</t>
  </si>
  <si>
    <t>Alert stage: Automatic consortium Critical threshold because the alert-linked caseload is ≥900 HH. RNA stage: Critical remains driven by the ≥900 HH consortium rule; RNA independently confirms substantial current needs. Alert caseload: 1,573 HH / ~3,950 people. RNA caseload: 1,573 HH / 3,950 people retained.</t>
  </si>
  <si>
    <t>RRM_NRC_MONTEPUEZ_06052026_IDP</t>
  </si>
  <si>
    <t>Alert stage: Continuing security threat affecting movement/access supports High despite limited arrival-condition detail. RNA stage: High is firmly grounded in current food, shelter and WASH conditions; Tier 2 shows important residual needs remained. Alert caseload: ~500 HH. RNA caseload: 626 affected HH; final caseload still requires verification.</t>
  </si>
  <si>
    <t>RRM_SI_CHIURE_19052026_IDP</t>
  </si>
  <si>
    <t>Alert stage: Nearby continuing insecurity supports High. Known caseload is 889 HH plus an unquantified hosted population, requiring urgent threshold verification. RNA stage: RNA strongly confirms High through severe food, shelter, WASH and health-access gaps plus movement-related protection concerns. Alert caseload: 889 HH + unknown hosted HH. RNA caseload: 889 HH + unknown hosted HH retained; exact caseload still requires verification.</t>
  </si>
  <si>
    <t>RRM_SCI_MOCIMBOA-DA-PRAIA_26052026_IDP</t>
  </si>
  <si>
    <t>Alert stage: Serious shock but insufficient evidence of severe current conditions at the dispersed arrival locations. Alert caseload: ~300 HH.</t>
  </si>
  <si>
    <t>RRM_SCI_NAMUNO-MONTEPUEZ_26052026_IDP</t>
  </si>
  <si>
    <t>Alert stage: Scored despite incomplete arrival data: reactive displacement, multiple immediate needs and a highly volatile environment support a provisional High, but not Critical. RNA stage: Multiple concurrent extreme conditions meet the Critical threshold despite the assessment geography not matching all reported onward-arrival locations. Alert caseload: ~500 HH affected at Muanona; displaced-arrival caseload not quantified. RNA caseload: ~500 affected HH retained; displaced-arrival caseload still not verified. Notes: RNA-stage Critical is scored with a geographic-evidence caveat: Muanona was assessed, while reported onward-arrival locations were not separately assessed.</t>
  </si>
  <si>
    <t>RRM_SI_ANCUABE_08062026_IDP</t>
  </si>
  <si>
    <t>Alert stage: Large caseload and vulnerabilities warrant attention, but severe current conditions at arrival were not yet documented. RNA stage: RNA establishes simultaneous severe food, shelter and WASH deprivation plus protection concerns, increasing severity from Moderate to High. Alert caseload: ~735 HH. RNA caseload: ~735 HH retained; verification still needed.</t>
  </si>
  <si>
    <t>RRM_SI_ANCUABE_04052026_IDP; RRM_SI_ANCUABE_31072026_RETURNEE</t>
  </si>
  <si>
    <t>Yes</t>
  </si>
  <si>
    <t>RRM_NRC_MONTEPUEZ_17062026_IDP</t>
  </si>
  <si>
    <t>Alert stage: Continuing security environment affecting movement/access supports High; overlap with the earlier Namanhumbire caseload required screening. RNA stage: RNA strongly confirms severe current needs and continuing protection concerns; overlap screening helps avoid double counting. Alert caseload: ~650 HH. RNA caseload: ~650 HH retained; exact caseload requires verification.</t>
  </si>
  <si>
    <t>RRM_NRC_MONTEPUEZ_29072026_IDP</t>
  </si>
  <si>
    <t>Alert stage: Protection/access environment supports High. The known count is extremely close to the ≥900 Critical threshold. RNA stage: High is strongly confirmed by severe food insecurity, inadequate/overcrowded shelter and WASH pressure; 884 HH remains below the automatic threshold. Alert caseload: &gt;884 HH. RNA caseload: 884 HH currently reported; new arrivals still ongoing.</t>
  </si>
  <si>
    <t>RRM_SI_ANCUABE_31072026_IDP</t>
  </si>
  <si>
    <t>Alert stage: Current severe deprivation or an immediate protection threat at Muaja was not demonstrated in the alert. Alert caseload: ~265 HH. RNA caseload: ~260 displaced HH.</t>
  </si>
  <si>
    <t>RRM_SI_ANCUABE_31072026_RETURNEE</t>
  </si>
  <si>
    <t>Returnee</t>
  </si>
  <si>
    <t>Alert stage: Automatic Critical under the consortium ≥900 HH threshold. Alert caseload: ~3,495 HH. RNA caseload: ~3,495 HH retained from alert; RNA labels current returnee caseload TBC/unverified.</t>
  </si>
  <si>
    <t>RRM_SI_ANCUABE_04052026_IDP; RRM_SI_ANCUABE_08062026_IDP</t>
  </si>
  <si>
    <t>RRM_ACF_QUISSANGA_11082026_IDP</t>
  </si>
  <si>
    <t>ACF</t>
  </si>
  <si>
    <t>Alert stage: High is driven by verified current arrival conditions, especially unsafe water, inadequate shelter and limited health access. Alert caseload: 457 HH / 819 people. RNA caseload: 457 HH / 819 people retained; caseload still requires verification. Notes: RNA geography wording (Natugo 1 AP) should be reconciled with alert geography (Napuda/Mahate).</t>
  </si>
  <si>
    <t>RRM_SCI_BALAMA_19082026_IDP</t>
  </si>
  <si>
    <t>Alert stage: Recent security events, continued movement and need for security assessment support High despite limited arrival-condition detail. RNA stage: RNA confirms High through substantive current food, shelter and protection problems; no ≥900 override or sufficient basis for Critical. Alert caseload: ~100 HH confirmed in Mavala Sede; additional HH in Nseue B/Npaca unknown. RNA caseload: 250 displaced HH: 136 Mavala Sede + 114 Nseue B; Npaca not updated.</t>
  </si>
  <si>
    <t>RRM_ACF_MACOMIA_10092026_IDP</t>
  </si>
  <si>
    <t>Alert stage: The alert confirms displacement, no formal assistance, asset loss and pressure on an existing IDP site, but does not yet verify severe acute gaps or an immediate threat at the arrival site. Moderate is therefore appropriate with high source confidence. RNA stage: Multiple serious and concurrent food, shelter/NFI and WASH gaps are supported across the assessment tools. Protection concerns are present but mixed and do not independently indicate a Critical situation; the caseload is far below the ≥900 HH override. Alert caseload: 98 HH arrived as of 7 Sep; screening/registration ongoing and further arrivals expected. RNA caseload: 98 HH retained from alert; 15 Sep KII estimated ~140 people at the site, not directly comparable; registration data needed. Notes: New September shock and distinct caseload, but Nonge-Muagamula already hosts former/protracted IDPs. RNA sample included 7 alert-linked and 5 protracted IDP households.</t>
  </si>
  <si>
    <t>RRM_NRC_NANGADE_15092026_IDP</t>
  </si>
  <si>
    <t>Alert stage: The alert confirms 176 newly arrived households, vulnerable groups and multi-sector needs, but it does not yet demonstrate severe acute conditions at Ntamba. The arrival route was relatively calm and accessible, so the provisional severity is Moderate. RNA stage: The RNA identifies several important household-level food, shelter/NFI, WASH and protection concerns, but the final verified alert-linked caseload was only 93 people and the purposive household findings cannot be interpreted as prevalence across the full caseload. Operational access remained feasible, services were present, observations described a generally calm environment, and no immediate life-threatening condition was established. Moderate is therefore retained at RNA stage. Alert caseload: 176 HH newly arrived in Ntamba IDP site and host community. RNA caseload: 176 HH retained from alert; RNA KIs estimated ~475 displaced people on average, a different unit that should not replace the HH figure. Notes: New September displacement to Ntamba. Potential contextual linkage to earlier alerts because Nkonga/Muangaza also appeared in the April Nangade alert and Mitope appeared in the April SCI alert; this should not be treated as the same caseload without household-level confirmation.</t>
  </si>
  <si>
    <t>RRM_NRC_NANGADE_22042026_IDP; RRM_SCI_MTAMBA_28042026_IDP</t>
  </si>
  <si>
    <t>RRM_NRC_NANGADE_30092026</t>
  </si>
  <si>
    <t>Alert stage: Automatic Critical under the consortium ≥900 HH threshold. RNA stage: The RNA findg indicate needs on food, water and shelter as top three priority. The caseload in also above 900 HH classifying the situation as critical  Alert caseload: 1040 HH newly arrived in Ntamba and Muadi.</t>
  </si>
  <si>
    <t>Alert_RRM_NRC_MONTEPUEZ-MIRATE_07102026</t>
  </si>
  <si>
    <t>RNA stage: not yet scored. Alert ID from RNA dataset (Mirate RNA, 10-11 Oct 2026); alert tracker not yet updated.</t>
  </si>
  <si>
    <t>route_id</t>
  </si>
  <si>
    <t>origin</t>
  </si>
  <si>
    <t>arrival</t>
  </si>
  <si>
    <t>people</t>
  </si>
  <si>
    <t>households</t>
  </si>
  <si>
    <t>caseload_stage</t>
  </si>
  <si>
    <t>targeted</t>
  </si>
  <si>
    <t>R01</t>
  </si>
  <si>
    <t>Macomia &amp; Muidumbe - Nkoe; Nguida; Macomia; Chai; Pangane; Miengueleva</t>
  </si>
  <si>
    <t>Multiple districts - Macomia locality; Chitunda AP; Muidumbe AP; Imbuo AP; Ibo AP: Macomia; Chitunda; Muidumbe; Namacande; Imbuhu; Vila do Ibo</t>
  </si>
  <si>
    <t>RNA</t>
  </si>
  <si>
    <t>R02</t>
  </si>
  <si>
    <t>Nangade - Nkonga; Samora Machel; Namajonda; Muangaz; Litingina; Machava</t>
  </si>
  <si>
    <t>Nangade - Mualela IDP site</t>
  </si>
  <si>
    <t>R03</t>
  </si>
  <si>
    <t>Mocímboa da Praia - Diaca: Mitope</t>
  </si>
  <si>
    <t>TBC - Mtamba</t>
  </si>
  <si>
    <t>Alert</t>
  </si>
  <si>
    <t>R04</t>
  </si>
  <si>
    <t>Ancuabe - Minheuene; Nacole; Muaja</t>
  </si>
  <si>
    <t>Ancuabe - Nanjua A; Nanjua B; Muaja; Majasse; Nsanja</t>
  </si>
  <si>
    <t>R05</t>
  </si>
  <si>
    <t>Ancuabe - Nacuja; Nacaca; Campire</t>
  </si>
  <si>
    <t>Montepuez - Namanhumbire</t>
  </si>
  <si>
    <t>R06</t>
  </si>
  <si>
    <t>Ancuabe &amp; Chiúre - Metoro (Namacuili); others not stated: Namacuili; Navigi; wider incident narrative includes Namania and neighbouring villages</t>
  </si>
  <si>
    <t>Chiúre - Megarruma; Maningane A; Maningane B; Chiúre host neighbourhoods</t>
  </si>
  <si>
    <t>R07</t>
  </si>
  <si>
    <t>Mocímboa da Praia - Nabaje; Moma; Naquiero</t>
  </si>
  <si>
    <t>Mocímboa da Praia - Milamba; Ntende; Nanduadua; Airport peri-urban area; Tende</t>
  </si>
  <si>
    <t>R08</t>
  </si>
  <si>
    <t>Namuno - Meloco: Muanona</t>
  </si>
  <si>
    <t>Namuno &amp; Montepuez - Meloco town / other destinations unresolved: Reported movement toward Meloco town, Montepuez District and other safer communities</t>
  </si>
  <si>
    <t>R09</t>
  </si>
  <si>
    <t>Ancuabe - Nanune; Nnaua; Nonia</t>
  </si>
  <si>
    <t>Ancuabe - Ancuabe Sede + Nanjua (AP not stated): Nanjua; Ancuabe Sede; Nanhomane; Ntuto</t>
  </si>
  <si>
    <t>R10</t>
  </si>
  <si>
    <t>Chiúre / other neighbouring areas - Nsanja; Nacaca; Campire; Ncole/Nacole; Minheuene</t>
  </si>
  <si>
    <t>Montepuez - Namanhumbire; Ucuburi; Chimoio; Nanhupo-A</t>
  </si>
  <si>
    <t>R11</t>
  </si>
  <si>
    <t>Montepuez - Mirate area: Nicocue; Namoro; Nquewene; Ntole</t>
  </si>
  <si>
    <t>Montepuez - Mirate: Mararange; Mavala; Mavanda</t>
  </si>
  <si>
    <t>R12</t>
  </si>
  <si>
    <t>Meluco - Mitepo</t>
  </si>
  <si>
    <t>Ancuabe - Mesa: Muaja</t>
  </si>
  <si>
    <t>R13</t>
  </si>
  <si>
    <t>Previous displacement locations in Ancuabe - Mixed / not consistently stated: Nanjua A/site; Muaja; Majasse; Nsanja; Ancuabe Sede; Nanhomane; Ntuto</t>
  </si>
  <si>
    <t>Ancuabe - Mesa: Nacueja/Nacoja; Minheuene; Nanune; Naua/Nonia</t>
  </si>
  <si>
    <t>R14</t>
  </si>
  <si>
    <t>Quissanga - Mahate: Natugo</t>
  </si>
  <si>
    <t>Quissanga - Mahate: Napuda</t>
  </si>
  <si>
    <t>R15</t>
  </si>
  <si>
    <t>Balama - Balama: Messalo River area</t>
  </si>
  <si>
    <t>Balama - Balama: Nseue B; Mavala Sede; Npaca</t>
  </si>
  <si>
    <t>R16</t>
  </si>
  <si>
    <t>Macomia - Litandacua; Novo Cabo</t>
  </si>
  <si>
    <t>Macomia - Macomia Sede: Nonge-Muagamula Centre</t>
  </si>
  <si>
    <t>R17</t>
  </si>
  <si>
    <t>Nangade &amp; Mocímboa da Praia - Nangade origins: Ngalonga, Liché, Nkonga, Nambedo, Muangaza; Mocímboa da Praia origins: Mitope, Chinda, 30 de Junho neighbourhood and Mocímboa da Praia</t>
  </si>
  <si>
    <t>Nangade - Ntamba Administrative Post: Ntamba IDP site and host community / village of Ntamba</t>
  </si>
  <si>
    <t>R18</t>
  </si>
  <si>
    <t>Mocimboa da Praia and Nangade - In Mocimboa da Praia district in the villages of Mitope, Chinda, Mocimboa da Praia sede, Maputo, Quelimane, Diaca, Chinda, Mitope, Pangela and from Nangade sistrict people are coming from the villages of Ngalonga, Nambedo, Samora Machel, Namuavica, Nambuembe, Lijungo, and Litingina</t>
  </si>
  <si>
    <t>Nangade - Ntamba IDP site and host community and Muadi IDP site</t>
  </si>
  <si>
    <t>endpoint</t>
  </si>
  <si>
    <t>location_name</t>
  </si>
  <si>
    <t>longitude</t>
  </si>
  <si>
    <t>latitude</t>
  </si>
  <si>
    <t>coordinate_source</t>
  </si>
  <si>
    <t>coordinate_status</t>
  </si>
  <si>
    <t>Pending</t>
  </si>
  <si>
    <t>start_date</t>
  </si>
  <si>
    <t>end_date</t>
  </si>
  <si>
    <t>method</t>
  </si>
  <si>
    <t>kii_sample</t>
  </si>
  <si>
    <t>hh_sample</t>
  </si>
  <si>
    <t>observation_sample</t>
  </si>
  <si>
    <t>coverage_note</t>
  </si>
  <si>
    <t>limitations</t>
  </si>
  <si>
    <t>response_use</t>
  </si>
  <si>
    <t>source</t>
  </si>
  <si>
    <t>Nangade</t>
  </si>
  <si>
    <t>Legacy RNA</t>
  </si>
  <si>
    <t>Sites: Ntamba; Mualela. Posto: M'Tamba (Ntamba); Mualela – verify. Population: Newly arrived IDPs from Nkonga, Samora Machel, Namajonda, Muangaz, Litingina and Machava; protracted IDPs; returnees</t>
  </si>
  <si>
    <t>KII-only with qualitative observation – no household data; purposive KIs, indicative not representative. Access constraints and rainy-season roads limited coverage of some planned areas. Sub-sample denominators vary (e.g. n=31 food, n=29 WASH, n=30 health/education). Questionnaire limited to essential indicators; no intra-household analysis. Exact data collection dates not stated.</t>
  </si>
  <si>
    <t>RNA brief – Ntamba and Mualela, Nangade District, Cabo Delgado – April 2026 (NRC / REACH)</t>
  </si>
  <si>
    <t>Montepuez</t>
  </si>
  <si>
    <t>Sites: Namanhumbire. Posto: Namanhumbir. Population: Newly arrived IDPs from Nacuja, Nacaca and Campire (Ancuabe District); host households</t>
  </si>
  <si>
    <t>KII-only with qualitative observation – no household data; purposive KIs, indicative not representative. Several indicators use sub-samples (n=11 for food, shelter and WASH; n=7 for health). Questionnaire limited to essential indicators; no intra-household analysis. Methodology section of the brief describes a different assessment (Nangade) – sample details need confirmation. Displacement ongoing at data collection, so caseload and needs likely changed.</t>
  </si>
  <si>
    <t>RNA brief – Namanhumbir, Montepuez District, Cabo Delgado – May 2026 (NRC / REACH)</t>
  </si>
  <si>
    <t>Ancuabe</t>
  </si>
  <si>
    <t>Sites: Nanjua A; Nanjua B. Population: Newly displaced IDPs from Minhewene and Nacole; host households; returnees</t>
  </si>
  <si>
    <t>Limited to two communities (Nanjua A and B); other arrival sites (Muaja, Majasse, Nsanja) not covered. Indicative, not statistically representative; no comparison between population groups. Limited indicator set; no intra-household analysis. No observation grid. Caseload unverified and possibly overlapping with later Nanjua alert.</t>
  </si>
  <si>
    <t>RNA brief – Nanjua A and B, Ancuabe District, Cabo Delgado – May 2026 (SI / REACH)</t>
  </si>
  <si>
    <t>Macomia</t>
  </si>
  <si>
    <t>Sites: Muagamula / Muagamula-Nonje. Posto: Macomia (coding split Macomia / Chai). Population: Newly arrived IDPs (origin: Nkoe, Nguida, Macomia, Chai, Pangane; Macomia &amp; Muidumbe)</t>
  </si>
  <si>
    <t>KII + one observation only – no household data; unit of analysis is the KI/area of knowledge, not the household, so not suitable for HH targeting without triangulation. Purposive KIs, indicative and not representative; may miss intra-community differences and individual protection risks. Several indicators use sub-samples (n=8 food, n=13 water, n=3 illnesses). Single observation point. Admin post coding inconsistent (Macomia vs Chai).</t>
  </si>
  <si>
    <t>RNA brief – Macomia District (Muagamula), Cabo Delgado – May 2026 (ACF / REACH)</t>
  </si>
  <si>
    <t>Chiúre</t>
  </si>
  <si>
    <t>Light RNA – KII + community interviews + Obs (pre-HESPER)</t>
  </si>
  <si>
    <t>Sites: Centro de reassentamento Maningane / Manicane; Megaruma. Population: Mainly newly displaced/arrived IDPs; some other affected HH</t>
  </si>
  <si>
    <t>Small samples (5 KIIs, 25 community interviews) – indicative only. Community interviews concentrated in Manicane (1 in Megaruma); HH hosted in Chiure town not covered. Single observation point. Denominators vary (skip logic); education, illness and nutrition findings based on small denominators. Caseload unverified (KII figures misformatted). Shock and data collection dates not reported.</t>
  </si>
  <si>
    <t>Light RNA – Maningane and Megaruma, Chiúre District, Cabo Delgado – May 2026 (SI / REACH)</t>
  </si>
  <si>
    <t>Namuno</t>
  </si>
  <si>
    <t>Sites: Muanona. Posto: Meloco. Population: Conflict-affected non-displaced HH, host community, newly displaced/arrived HH and protracted IDPs</t>
  </si>
  <si>
    <t>Very small samples (5 KIIs, 6 community interviews) – indicative only. All interviews and observation concentrated in Muanona; households displaced to Meloco town, Montepuez District or nearby areas not covered. Mixed population sample without disaggregation. Observation from one section of Muanona; contradicts interviews on education and WASH. Varying denominators (skip logic). Caseload unverified (KII figures misformatted); data collection dates not reported.</t>
  </si>
  <si>
    <t>Light RNA – Muanona, Meloco Administrative Post, Namuno District, Cabo Delgado – June 2026 (SCI / REACH)</t>
  </si>
  <si>
    <t>Sites: Nanjua (Bairro Maviha); Ntuto (Bairro Ntutu / Ntutu2 / Ntutu3). Posto: Ancuabe; Mesa. Population: Newly displaced/arrived IDPs from Nanune, Nnaua and Nonia; protracted IDPs</t>
  </si>
  <si>
    <t>Purposive coverage of arrival/hosting sites only (Nanjua, Ntuto); households in areas of origin or other locations not covered. Small number of KIIs and observation points; denominators vary (skip logic). No host HH in community interviews. Interview and observation findings diverge on health and education. Caseload unverified and possibly overlapping with RRM_SI_ANCUABE_04052026_IDP. Data collection dates not reported.</t>
  </si>
  <si>
    <t>Light RNA – Nanjua and Ntuto, Ancuabe District, Cabo Delgado – June 2026 (SI / REACH)</t>
  </si>
  <si>
    <t>Sites: Namanhumbir / Nanhupo (alert also lists Namanhumbire main village, Ucuburi, Chimoio, Nanhupo-A). Posto: Namanhumbir. Population: Newly arrived IDPs from Nsanja, Chiúre District; host households</t>
  </si>
  <si>
    <t>Small purposive samples (12 KIIs, 10 community interviews) – indicative only. Community interviews concentrated in Namanhumbir; not all arrival locations from the alert covered. Most KIs were market actors/shopkeepers, with few IDP leaders, health or education focal points. Observation from one host neighbourhood only. Multiple-choice totals exceed 100% and denominators vary (skip logic); health figures based on small denominators. Caseload, assistance coverage and referral needs unverified. Data collection dates not reported.</t>
  </si>
  <si>
    <t>Light RNA – Namanhumbir, Montepuez District, Cabo Delgado – June 2026 (NRC / REACH)</t>
  </si>
  <si>
    <t>Tier 1 Light RNA (AoK KII + HESPER + Obs)</t>
  </si>
  <si>
    <t>Sites: Muaja. Posto: Mesa. Population: Newly displaced IDPs from Mitepo (Meluco); host community (KII)</t>
  </si>
  <si>
    <t>Small purposive samples (4 KIIs, 10 HESPER) – indicative, counts not population estimates; denominators vary. All KIs men. No host HH in HESPER sample. Observation covered selected infrastructure only, no health facility, and cannot verify household-level or sensitive protection concerns. KI and HH evidence diverge on family separation. Caseload (260 HH) from IDP leader, unverified. Data collection dates not reported.</t>
  </si>
  <si>
    <t>Light RNA – Muaja, Mesa Administrative Post, Ancuabe District, Cabo Delgado – August 2026 (SI / REACH)</t>
  </si>
  <si>
    <t>Sites: Mararange; Mavanda (caseload also covers Mavala/Madalena, not interviewed). Posto: Mirate. Population: Newly displaced HH (origins in Mirate area, not fully disaggregated); host community (KII)</t>
  </si>
  <si>
    <t>Purposive samples (11 KIIs, 14 community interviews) – indicative only; counts, not estimates; denominators vary. No HH interviewed in Mavala/Madalena. Most KIs men; KI geographic and sectoral knowledge uneven. Limited direct observation; caseload uncertain (NRC consolidated figure used). Shock and data collection dates not reported.</t>
  </si>
  <si>
    <t>Light RNA – Mararange and Mavanda, Mirate Administrative Post, Montepuez District, Cabo Delgado – August 2026 (NRC / REACH)</t>
  </si>
  <si>
    <t>Quissanga</t>
  </si>
  <si>
    <t>Sites: Natugo 1. Posto: Natugo 1 (as reported – verify). Population: Alert-linked IDPs displaced from Natugo (within Quissanga District)</t>
  </si>
  <si>
    <t>Purposive samples (5 KIIs, 10 HH) – indicative, counts not population estimates; denominators vary by eligibility. All KIs men, limiting women's perspectives. No host HH sampled. Observation covered one route and selected services only (1 of 2 water points; no school found); some observation fields include information reported by community members/traders. Sensitive protection and assistance experiences not verifiable by observation. Caseload (457 HH) preliminary and unverified; site and admin post coding inconsistent (Napuda / Natugo 1).</t>
  </si>
  <si>
    <t>Light RNA – Natugo 1, Quissanga District, Cabo Delgado – August 2026 (ACF / REACH)</t>
  </si>
  <si>
    <t>Sites: Minheuene; Nacoja (Nacueja). Posto: Mesa. Population: Returnees to areas of origin after conflict displacement (late April–early June 2026)</t>
  </si>
  <si>
    <t>Small purposive samples (8 KIIs, 18 HESPER) – indicative, not prevalence. 7 of 8 KIs men. Only 2 return communities observed (Nanune and Naua not covered); not all water points assessed and Nacoja water-point records inconsistent. One HESPER record's return status needs verification. Some observation fields include reported information. Returnee caseload unverified; community naming (Nacoja/Nacueja) to reconcile.</t>
  </si>
  <si>
    <t>Light RNA – Returnees, Mesa Administrative Post, Ancuabe District, Cabo Delgado – August 2026 (SI / REACH)</t>
  </si>
  <si>
    <t>Balama</t>
  </si>
  <si>
    <t>Sites: Mavala Sede; Nseue B. Posto: Mavala. Population: Newly arrived IDPs from communities along the Messalo River; host communities (KII/observation)</t>
  </si>
  <si>
    <t>Purposive samples (8 KIIs, 16 HESPER) – indicative, not prevalence. KIs made no priority selection, so no KII ranking; sector coverage uneven (1 KI on protection, education and markets; none on health). HH and KII records cannot be disaggregated by community; Npaca not observed; only 3 of ~16 water points assessed. Data-quality issues: inconsistent displacement-status coding, one HH not confirming alert linkage, one incomplete ranking, unclear KI caseload unit, very high number of serious problems per HH (~21) needing validation.</t>
  </si>
  <si>
    <t>Light RNA – Mavala, Balama District, Cabo Delgado – August 2026 (SCI / REACH)</t>
  </si>
  <si>
    <t>Sites: Nonge-Muagamula IDP site. Population: Newly arrived alert-linked IDPs (from Litandacua and Novo Cabo); protracted IDPs</t>
  </si>
  <si>
    <t>Only one KII – KII findings reflect a single informant, cannot establish consensus or be triangulated across profiles; education, health and protection outside KI's declared knowledge. Purposive HH sample (n=12), indicative only, not representative. No host HH sampled. Health and menstrual-hygiene items use reduced denominators (n=6). Observation limited to points in area covered; facility absence ≠ no access nearby. Caseload unconfirmed: alert 98 HH vs KI ~140 people (different units); registration ongoing.</t>
  </si>
  <si>
    <t>Light RNA – Nonge-Muagamula IDP site, Macomia District, Cabo Delgado – September 2026 (ACF / REACH)</t>
  </si>
  <si>
    <t>Sites: Centro Ntamba IDP site; Ntamba host community. Posto: Ntamba (M'Tamba). Population: Newly arrived alert-linked IDPs (from Ngalonga, Liché, Nkonga, Nambedo, Muangaza); protracted IDPs</t>
  </si>
  <si>
    <t>Small purposive samples (4 KIIs, 13 HESPER) – indicative, not representative. 3 of 13 HESPER interviews incomplete, so denominators vary. No host HH in HESPER sample. All KIs men with uneven sector knowledge (none on health/nutrition, markets/CVA or AAP); KI severity ratings much lower than household reports. Observations limited to visible conditions at one time; IDP-site route documentation limited. Caseload figures differ (93 registered vs 176 alert estimate).</t>
  </si>
  <si>
    <t>Light RNA – Ntamba, Nangade District, Cabo Delgado – September 2026 (NRC / REACH)</t>
  </si>
  <si>
    <t>Sites: Ntamba IDP site and Muadi host community. KII sites as recorded – Nangade PA: Muadi (6 KIIs, incl. 1 'Maudi'); M'Tamba PA: Ntamba (2), M'Tamba (1), Ntamba/Lilawe (1), Ntamba, Mule (1). Posto: Nangade; M'Tamba. Population: Newly arrived IDPs, protracted IDPs and host community (per KIs). Origins per alert list: Mitope, Chinda and Mocímboa da Praia sede (Maputo, Quelimane, Diaca, Pangele); Nangade villages Ngalonga, Nambedo, Samora Machel, Namuavica, Namuembe, Lijungo, Litingina.</t>
  </si>
  <si>
    <t>Dataset covers KII component only – HESPER household and observation findings not included, so HESPER fields are blank. Purposive KIs; findings indicative, not representative. Several KIs per site (6 in Muadi), so counts are KI responses, not independent sites. Site names inconsistent (Maudi/Muadi; Ntamba variants) – harmonise. KI displaced-population estimates range 200–1,800 people (median ~365, n=10) for overlapping areas – not summable; HH caseload not available. Follow-up questions use reduced denominators due to skip logic. 2 KIs declared limited sector knowledge ('none'; AAP only).</t>
  </si>
  <si>
    <t>MOZ2402 KII dataset (labelled), 07/10/2026</t>
  </si>
  <si>
    <t>Sites: Mararange; Nacuca. Posto: Mirate (mz011102). Population (HESPER sample): 19 new IDP, 6 protracted IDP, 6 host HH.</t>
  </si>
  <si>
    <t>RRM merged RNA dataset (RRM_merge_data.xlsx)</t>
  </si>
  <si>
    <t>screening_id</t>
  </si>
  <si>
    <t>community</t>
  </si>
  <si>
    <t>decision_date</t>
  </si>
  <si>
    <t>population</t>
  </si>
  <si>
    <t>decision</t>
  </si>
  <si>
    <t>reason</t>
  </si>
  <si>
    <t>reviewed</t>
  </si>
  <si>
    <t>profile_summary</t>
  </si>
  <si>
    <t>analysis_version</t>
  </si>
  <si>
    <t>review_date</t>
  </si>
  <si>
    <t>event_id</t>
  </si>
  <si>
    <t>tier</t>
  </si>
  <si>
    <t>modality</t>
  </si>
  <si>
    <t>delivery_partner</t>
  </si>
  <si>
    <t>quantity</t>
  </si>
  <si>
    <t>unit</t>
  </si>
  <si>
    <t>measure_type</t>
  </si>
  <si>
    <t>delivery_status</t>
  </si>
  <si>
    <t>donor</t>
  </si>
  <si>
    <t>delay_reason</t>
  </si>
  <si>
    <t>SCI-2026-0001</t>
  </si>
  <si>
    <t>Tier 1</t>
  </si>
  <si>
    <t>Rapid Needs Assessment</t>
  </si>
  <si>
    <t>interviews</t>
  </si>
  <si>
    <t>Service output</t>
  </si>
  <si>
    <t>Completed</t>
  </si>
  <si>
    <t>ECHO</t>
  </si>
  <si>
    <t>SCI-2026-0002</t>
  </si>
  <si>
    <t>Tier 2</t>
  </si>
  <si>
    <t>MHPSS</t>
  </si>
  <si>
    <t>sessions</t>
  </si>
  <si>
    <t>SCI-2026-0003</t>
  </si>
  <si>
    <t>SCI-2026-0004</t>
  </si>
  <si>
    <t>Case Management</t>
  </si>
  <si>
    <t>cases</t>
  </si>
  <si>
    <t>SCI-2026-0005</t>
  </si>
  <si>
    <t>SCI-2026-0006</t>
  </si>
  <si>
    <t>Dignity Kits Distribution</t>
  </si>
  <si>
    <t>kits</t>
  </si>
  <si>
    <t>SCI-2026-0007</t>
  </si>
  <si>
    <t>NFI, Hygiene and Food  Kits Distribution</t>
  </si>
  <si>
    <t>packages</t>
  </si>
  <si>
    <t>SCI-2026-0008</t>
  </si>
  <si>
    <t>SCI-2026-0009</t>
  </si>
  <si>
    <t>We Thrive Session</t>
  </si>
  <si>
    <t>SCI-2026-0010</t>
  </si>
  <si>
    <t>SCI-2026-0011</t>
  </si>
  <si>
    <t>Learning Material Distribution</t>
  </si>
  <si>
    <t>SCI-2026-0012</t>
  </si>
  <si>
    <t>Re-integration of students in formal education</t>
  </si>
  <si>
    <t>students</t>
  </si>
  <si>
    <t>SCI-2026-0013</t>
  </si>
  <si>
    <t>SCI-2026-0014</t>
  </si>
  <si>
    <t>Specialized MHPSS</t>
  </si>
  <si>
    <t>SCI-2026-0015</t>
  </si>
  <si>
    <t>SCI-2026-0016</t>
  </si>
  <si>
    <t>SCI-2026-0017</t>
  </si>
  <si>
    <t>SCI-2026-0018</t>
  </si>
  <si>
    <t>SCI-2026-0019</t>
  </si>
  <si>
    <t>SCI-2026-0020</t>
  </si>
  <si>
    <t>SCI-2026-0021</t>
  </si>
  <si>
    <t>Awareness raising</t>
  </si>
  <si>
    <t>SCI-2026-0022</t>
  </si>
  <si>
    <t>SCI-2026-0023</t>
  </si>
  <si>
    <t>SCI-2026-0024</t>
  </si>
  <si>
    <t>SCI-2026-0025</t>
  </si>
  <si>
    <t>We Thrive</t>
  </si>
  <si>
    <t>SCI-2026-0026</t>
  </si>
  <si>
    <t>Post Distribution Monitoring</t>
  </si>
  <si>
    <t>households interviewed</t>
  </si>
  <si>
    <t>SCI-2026-0027</t>
  </si>
  <si>
    <t>Training of Teachers</t>
  </si>
  <si>
    <t>SCI-2026-0028</t>
  </si>
  <si>
    <t>SCI-2026-0029</t>
  </si>
  <si>
    <t>SCI-2026-0030</t>
  </si>
  <si>
    <t>SCI-2026-0031</t>
  </si>
  <si>
    <t>SCI-2026-0032</t>
  </si>
  <si>
    <t>SCI-2026-0033</t>
  </si>
  <si>
    <t>SCI-2026-0034</t>
  </si>
  <si>
    <t>Students kits distribution</t>
  </si>
  <si>
    <t>SCI-2026-0035</t>
  </si>
  <si>
    <t>Distribution of Teacher Kits</t>
  </si>
  <si>
    <t>SCI-2026-0036</t>
  </si>
  <si>
    <t>SCI-2026-0037</t>
  </si>
  <si>
    <t>SCI-2026-0038</t>
  </si>
  <si>
    <t>SCI-2026-0039</t>
  </si>
  <si>
    <t>SCI-2026-0040</t>
  </si>
  <si>
    <t>SCI-2026-0041</t>
  </si>
  <si>
    <t>SCI-2026-0042</t>
  </si>
  <si>
    <t>SCI-2026-0043</t>
  </si>
  <si>
    <t>SCI-2026-0044</t>
  </si>
  <si>
    <t>SCI-2026-0045</t>
  </si>
  <si>
    <t>SCI-2026-0046</t>
  </si>
  <si>
    <t>SCI-2026-0047</t>
  </si>
  <si>
    <t>Out off school children mapped</t>
  </si>
  <si>
    <t>referrals</t>
  </si>
  <si>
    <t>SCI-2026-0048</t>
  </si>
  <si>
    <t>Back to school campaign</t>
  </si>
  <si>
    <t>SCI-2026-0049</t>
  </si>
  <si>
    <t>SCI-2026-0050</t>
  </si>
  <si>
    <t>SCI-2026-0051</t>
  </si>
  <si>
    <t>SCI-2026-0052</t>
  </si>
  <si>
    <t>SCI-2026-0053</t>
  </si>
  <si>
    <t>SCI-2026-0054</t>
  </si>
  <si>
    <t>SCI-2026-0055</t>
  </si>
  <si>
    <t>SCI-2026-0056</t>
  </si>
  <si>
    <t>SCI-2026-0057</t>
  </si>
  <si>
    <t>SCI-2026-0058</t>
  </si>
  <si>
    <t>SCI-2026-0059</t>
  </si>
  <si>
    <t>SCI-2026-0060</t>
  </si>
  <si>
    <t>SCI-2026-0061</t>
  </si>
  <si>
    <t>SCI-2026-0062</t>
  </si>
  <si>
    <t>SCI-2026-0063</t>
  </si>
  <si>
    <t>Civil Registration</t>
  </si>
  <si>
    <t>SCI-2026-0064</t>
  </si>
  <si>
    <t>NRC-2026-0001</t>
  </si>
  <si>
    <t>Voucher Distribution</t>
  </si>
  <si>
    <t>HH</t>
  </si>
  <si>
    <t>Assistance</t>
  </si>
  <si>
    <t>NRC-2026-0002</t>
  </si>
  <si>
    <t>NRC-2026-0003</t>
  </si>
  <si>
    <t>NRC-2026-0004</t>
  </si>
  <si>
    <t>NRC-2026-0005</t>
  </si>
  <si>
    <t>ACF-2026-0007</t>
  </si>
  <si>
    <t>Mobile Brigade</t>
  </si>
  <si>
    <t>consultations</t>
  </si>
  <si>
    <t>Ongoing</t>
  </si>
  <si>
    <t>ACF-2026-0008</t>
  </si>
  <si>
    <t>ACF-2026-0008-X1</t>
  </si>
  <si>
    <t>ACF-2026-0009</t>
  </si>
  <si>
    <t>ACF-2026-0009-X1</t>
  </si>
  <si>
    <t>ACF-2026-0010</t>
  </si>
  <si>
    <t>ACF-2026-0010-X1</t>
  </si>
  <si>
    <t>SI-2026-0001</t>
  </si>
  <si>
    <t>SI-2026-0001-X1</t>
  </si>
  <si>
    <t>SI-2026-0002</t>
  </si>
  <si>
    <t>Borehole Rehabilitation</t>
  </si>
  <si>
    <t>PRONANAC</t>
  </si>
  <si>
    <t>Water delivered</t>
  </si>
  <si>
    <t>SI-2026-0003</t>
  </si>
  <si>
    <t>SI-2026-0004</t>
  </si>
  <si>
    <t>transfer_id</t>
  </si>
  <si>
    <t>component</t>
  </si>
  <si>
    <t>from_partner</t>
  </si>
  <si>
    <t>to_partner</t>
  </si>
  <si>
    <t>transfer_date</t>
  </si>
  <si>
    <t>note</t>
  </si>
  <si>
    <t>mode</t>
  </si>
  <si>
    <t>source_updated</t>
  </si>
  <si>
    <t>methods_note</t>
  </si>
  <si>
    <t>demo</t>
  </si>
  <si>
    <t>Illustrative data transcribed from the supplied page mock-ups; additional fictional records demonstrate filtering.</t>
  </si>
  <si>
    <t>Worksheet</t>
  </si>
  <si>
    <t>Field</t>
  </si>
  <si>
    <t>Required</t>
  </si>
  <si>
    <t>Type / allowed values</t>
  </si>
  <si>
    <t>Meaning / entry rule</t>
  </si>
  <si>
    <t>Text</t>
  </si>
  <si>
    <t>Stable unique record identifier in its owning worksheet.</t>
  </si>
  <si>
    <t>Primary, Secondary, Unknown</t>
  </si>
  <si>
    <t>Date</t>
  </si>
  <si>
    <t>Enter an Excel date or YYYY-MM-DD.</t>
  </si>
  <si>
    <t>Conditional / optional</t>
  </si>
  <si>
    <t>Blank means assignment remains effective.</t>
  </si>
  <si>
    <t>source version</t>
  </si>
  <si>
    <t>Stable alert key. Must exist in Alerts when referenced by another sheet.</t>
  </si>
  <si>
    <t>Number</t>
  </si>
  <si>
    <t>alert hh</t>
  </si>
  <si>
    <t>alert people</t>
  </si>
  <si>
    <t>alert severity</t>
  </si>
  <si>
    <t>rna hh</t>
  </si>
  <si>
    <t>rna people</t>
  </si>
  <si>
    <t>rna severity</t>
  </si>
  <si>
    <t>related alert</t>
  </si>
  <si>
    <t>overlap status</t>
  </si>
  <si>
    <t>Stable route key. Must exist in Routes when used in Route Locations.</t>
  </si>
  <si>
    <t>Alert, RNA</t>
  </si>
  <si>
    <t>caseload stage</t>
  </si>
  <si>
    <t>Yes, No, Unknown</t>
  </si>
  <si>
    <t>origin, arrival</t>
  </si>
  <si>
    <t>location name</t>
  </si>
  <si>
    <t>WGS84 decimal coordinate. Confirmed operational points require both coordinates.</t>
  </si>
  <si>
    <t>Required for mapped points. Record the reviewed coordinate source.</t>
  </si>
  <si>
    <t>Demo, Confirmed, Pending, Rejected</t>
  </si>
  <si>
    <t>coordinate status</t>
  </si>
  <si>
    <t>Stable assessment key. Must exist in Assessments when used in Needs.</t>
  </si>
  <si>
    <t>kii sample</t>
  </si>
  <si>
    <t>hh sample</t>
  </si>
  <si>
    <t>observation sample</t>
  </si>
  <si>
    <t>coverage note</t>
  </si>
  <si>
    <t>response use</t>
  </si>
  <si>
    <t>kii summary</t>
  </si>
  <si>
    <t>hesper serious</t>
  </si>
  <si>
    <t>Valid denominator for this need; must not exceed the assessment HH sample.</t>
  </si>
  <si>
    <t>Retained as source metadata; not displayed in Light RNA.</t>
  </si>
  <si>
    <t>IDP, Host, Returnee, Other</t>
  </si>
  <si>
    <t>Proceed, Not proceeding, Pending</t>
  </si>
  <si>
    <t>TRUE, FALSE</t>
  </si>
  <si>
    <t>Reviewed aggregate narrative only. Required when reviewed=TRUE.</t>
  </si>
  <si>
    <t>analysis version</t>
  </si>
  <si>
    <t>Tier 1, Tier 2</t>
  </si>
  <si>
    <t>delivery partner</t>
  </si>
  <si>
    <t>Keep HH, kits and consultations distinct. Do not pool different units.</t>
  </si>
  <si>
    <t>Assistance, Service output</t>
  </si>
  <si>
    <t>measure type</t>
  </si>
  <si>
    <t>Completed, Planned, Ongoing, Cancelled</t>
  </si>
  <si>
    <t>delivery status</t>
  </si>
  <si>
    <t>delay reason</t>
  </si>
  <si>
    <t>from partner</t>
  </si>
  <si>
    <t>to partner</t>
  </si>
  <si>
    <t>demo, operational</t>
  </si>
  <si>
    <t>demo for this example; operational only after replacing every fictitious record.</t>
  </si>
  <si>
    <t>methods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</si>
</sst>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
  </numFmts>
  <fonts count="5">
    <font>
      <sz val="11"/>
      <name val="Carlito"/>
    </font>
    <font>
      <sz val="10"/>
      <color rgb="FF58585A"/>
      <name val="Arial"/>
    </font>
    <font>
      <b/>
      <sz val="15"/>
      <color rgb="FFEE5859"/>
      <name val="Arial"/>
    </font>
    <font>
      <b/>
      <sz val="10"/>
      <color rgb="FFFFFFFF"/>
      <name val="Arial"/>
    </font>
    <font>
      <sz val="10"/>
      <color rgb="FF58585A"/>
      <name val="Arial"/>
      <family val="2"/>
    </font>
  </fonts>
  <fills count="4">
    <fill>
      <patternFill patternType="none"/>
    </fill>
    <fill>
      <patternFill patternType="gray125"/>
    </fill>
    <fill>
      <patternFill patternType="solid">
        <fgColor rgb="FF58585A"/>
      </patternFill>
    </fill>
    <fill>
      <patternFill patternType="solid">
        <fgColor rgb="FFFFFF00"/>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0" fontId="3" fillId="2" borderId="0" xfId="0" applyFont="1" applyFill="1" applyAlignment="1">
      <alignment vertical="center"/>
    </xf>
    <xf numFmtId="0" fontId="3" fillId="2" borderId="0" xfId="0" applyFont="1" applyFill="1" applyAlignment="1">
      <alignment vertical="center" wrapText="1"/>
    </xf>
    <xf numFmtId="164" fontId="1" fillId="0" borderId="0" xfId="0" applyNumberFormat="1" applyFont="1" applyAlignment="1">
      <alignment vertical="center"/>
    </xf>
    <xf numFmtId="164" fontId="3" fillId="2" borderId="0" xfId="0" applyNumberFormat="1" applyFont="1" applyFill="1" applyAlignment="1">
      <alignment vertical="center" wrapText="1"/>
    </xf>
    <xf numFmtId="3" fontId="3" fillId="2" borderId="0" xfId="0" applyNumberFormat="1" applyFont="1" applyFill="1" applyAlignment="1">
      <alignment vertical="center" wrapText="1"/>
    </xf>
    <xf numFmtId="165" fontId="3" fillId="2" borderId="0" xfId="0" applyNumberFormat="1" applyFont="1" applyFill="1" applyAlignment="1">
      <alignment vertical="center" wrapText="1"/>
    </xf>
    <xf numFmtId="14" fontId="0" fillId="0" borderId="0" xfId="0" applyNumberFormat="1"/>
    <xf numFmtId="0" fontId="4" fillId="0" borderId="0" xfId="0" applyFont="1" applyAlignment="1">
      <alignment vertical="center"/>
    </xf>
    <xf numFmtId="0" fontId="1" fillId="0" borderId="0" xfId="0" applyFont="1" applyAlignment="1">
      <alignment vertical="top"/>
    </xf>
    <xf numFmtId="164" fontId="1" fillId="3" borderId="0" xfId="0" applyNumberFormat="1" applyFont="1" applyFill="1" applyAlignment="1">
      <alignment vertical="top"/>
    </xf>
    <xf numFmtId="0" fontId="1" fillId="3" borderId="0" xfId="0" applyFont="1" applyFill="1" applyAlignment="1">
      <alignment vertical="top"/>
    </xf>
    <xf numFmtId="0" fontId="1" fillId="0" borderId="0" xfId="0" applyFont="1" applyAlignment="1">
      <alignment vertical="top" wrapText="1"/>
    </xf>
    <xf numFmtId="164" fontId="1" fillId="0" borderId="0" xfId="0" applyNumberFormat="1" applyFont="1" applyAlignment="1">
      <alignment vertical="top"/>
    </xf>
    <xf numFmtId="0" fontId="1" fillId="3" borderId="0" xfId="0" applyFont="1" applyFill="1" applyAlignment="1">
      <alignment vertical="top" wrapText="1"/>
    </xf>
    <xf numFmtId="0" fontId="1" fillId="3" borderId="0" xfId="0" applyFont="1" applyFill="1" applyAlignment="1">
      <alignment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ohan CORDEL" id="{75E6C908-C7B3-4077-ACCD-EC679AA2E217}" userId="Johan CORDEL"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put_coverage" displayName="Input_coverage" ref="A1:G10" totalsRowShown="0">
  <tableColumns count="7">
    <tableColumn id="1" xr3:uid="{00000000-0010-0000-0000-000001000000}" name="assignment_id"/>
    <tableColumn id="2" xr3:uid="{00000000-0010-0000-0000-000002000000}" name="area"/>
    <tableColumn id="3" xr3:uid="{00000000-0010-0000-0000-000003000000}" name="partner"/>
    <tableColumn id="4" xr3:uid="{00000000-0010-0000-0000-000004000000}" name="role"/>
    <tableColumn id="5" xr3:uid="{00000000-0010-0000-0000-000005000000}" name="effective_from"/>
    <tableColumn id="6" xr3:uid="{00000000-0010-0000-0000-000006000000}" name="effective_to"/>
    <tableColumn id="7" xr3:uid="{00000000-0010-0000-0000-000007000000}" name="source_versio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put_alerts" displayName="Input_alerts" ref="A1:P20" totalsRowShown="0">
  <tableColumns count="16">
    <tableColumn id="1" xr3:uid="{00000000-0010-0000-0100-000001000000}" name="alert_id"/>
    <tableColumn id="2" xr3:uid="{00000000-0010-0000-0100-000002000000}" name="alert_date"/>
    <tableColumn id="3" xr3:uid="{00000000-0010-0000-0100-000003000000}" name="trigger"/>
    <tableColumn id="4" xr3:uid="{00000000-0010-0000-0100-000004000000}" name="gla"/>
    <tableColumn id="5" xr3:uid="{00000000-0010-0000-0100-000005000000}" name="movement"/>
    <tableColumn id="6" xr3:uid="{00000000-0010-0000-0100-000006000000}" name="alert_hh"/>
    <tableColumn id="7" xr3:uid="{00000000-0010-0000-0100-000007000000}" name="alert_people"/>
    <tableColumn id="8" xr3:uid="{00000000-0010-0000-0100-000008000000}" name="alert_severity"/>
    <tableColumn id="9" xr3:uid="{00000000-0010-0000-0100-000009000000}" name="alert_evidence_date"/>
    <tableColumn id="10" xr3:uid="{00000000-0010-0000-0100-00000A000000}" name="rna_hh"/>
    <tableColumn id="11" xr3:uid="{00000000-0010-0000-0100-00000B000000}" name="rna_people"/>
    <tableColumn id="12" xr3:uid="{00000000-0010-0000-0100-00000C000000}" name="rna_severity"/>
    <tableColumn id="13" xr3:uid="{00000000-0010-0000-0100-00000D000000}" name="rna_evidence_date"/>
    <tableColumn id="14" xr3:uid="{00000000-0010-0000-0100-00000E000000}" name="rationale"/>
    <tableColumn id="15" xr3:uid="{00000000-0010-0000-0100-00000F000000}" name="related_alert"/>
    <tableColumn id="16" xr3:uid="{00000000-0010-0000-0100-000010000000}" name="overlap_statu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put_routes" displayName="Input_routes" ref="A1:H19" totalsRowShown="0">
  <tableColumns count="8">
    <tableColumn id="1" xr3:uid="{00000000-0010-0000-0200-000001000000}" name="route_id"/>
    <tableColumn id="2" xr3:uid="{00000000-0010-0000-0200-000002000000}" name="alert_id"/>
    <tableColumn id="3" xr3:uid="{00000000-0010-0000-0200-000003000000}" name="origin"/>
    <tableColumn id="4" xr3:uid="{00000000-0010-0000-0200-000004000000}" name="arrival"/>
    <tableColumn id="5" xr3:uid="{00000000-0010-0000-0200-000005000000}" name="people"/>
    <tableColumn id="6" xr3:uid="{00000000-0010-0000-0200-000006000000}" name="households"/>
    <tableColumn id="7" xr3:uid="{00000000-0010-0000-0200-000007000000}" name="caseload_stage"/>
    <tableColumn id="8" xr3:uid="{00000000-0010-0000-0200-000008000000}" name="targeted"/>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put_route_locations" displayName="Input_route_locations" ref="A1:G37" totalsRowShown="0">
  <tableColumns count="7">
    <tableColumn id="1" xr3:uid="{00000000-0010-0000-0300-000001000000}" name="route_id"/>
    <tableColumn id="2" xr3:uid="{00000000-0010-0000-0300-000002000000}" name="endpoint"/>
    <tableColumn id="3" xr3:uid="{00000000-0010-0000-0300-000003000000}" name="location_name"/>
    <tableColumn id="4" xr3:uid="{00000000-0010-0000-0300-000004000000}" name="longitude"/>
    <tableColumn id="5" xr3:uid="{00000000-0010-0000-0300-000005000000}" name="latitude"/>
    <tableColumn id="6" xr3:uid="{00000000-0010-0000-0300-000006000000}" name="coordinate_source"/>
    <tableColumn id="7" xr3:uid="{00000000-0010-0000-0300-000007000000}" name="coordinate_statu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put_assessments" displayName="Input_assessments" ref="A1:M18" totalsRowShown="0">
  <tableColumns count="13">
    <tableColumn id="1" xr3:uid="{00000000-0010-0000-0400-000001000000}" name="assessment_id"/>
    <tableColumn id="2" xr3:uid="{00000000-0010-0000-0400-000002000000}" name="alert_id"/>
    <tableColumn id="3" xr3:uid="{00000000-0010-0000-0400-000003000000}" name="area"/>
    <tableColumn id="4" xr3:uid="{00000000-0010-0000-0400-000004000000}" name="start_date"/>
    <tableColumn id="5" xr3:uid="{00000000-0010-0000-0400-000005000000}" name="end_date"/>
    <tableColumn id="6" xr3:uid="{00000000-0010-0000-0400-000006000000}" name="method"/>
    <tableColumn id="7" xr3:uid="{00000000-0010-0000-0400-000007000000}" name="kii_sample"/>
    <tableColumn id="8" xr3:uid="{00000000-0010-0000-0400-000008000000}" name="hh_sample"/>
    <tableColumn id="9" xr3:uid="{00000000-0010-0000-0400-000009000000}" name="observation_sample"/>
    <tableColumn id="10" xr3:uid="{00000000-0010-0000-0400-00000A000000}" name="coverage_note"/>
    <tableColumn id="11" xr3:uid="{00000000-0010-0000-0400-00000B000000}" name="limitations"/>
    <tableColumn id="12" xr3:uid="{00000000-0010-0000-0400-00000C000000}" name="response_use"/>
    <tableColumn id="13" xr3:uid="{00000000-0010-0000-0400-00000D000000}" name="source"/>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put_needs" displayName="Input_needs" ref="A1:G58" totalsRowShown="0">
  <tableColumns count="7">
    <tableColumn id="1" xr3:uid="{00000000-0010-0000-0500-000001000000}" name="assessment_id"/>
    <tableColumn id="2" xr3:uid="{00000000-0010-0000-0500-000002000000}" name="need"/>
    <tableColumn id="3" xr3:uid="{00000000-0010-0000-0500-000003000000}" name="rank"/>
    <tableColumn id="4" xr3:uid="{00000000-0010-0000-0500-000004000000}" name="kii_summary"/>
    <tableColumn id="5" xr3:uid="{00000000-0010-0000-0500-000005000000}" name="hesper_serious"/>
    <tableColumn id="6" xr3:uid="{00000000-0010-0000-0500-000006000000}" name="hesper_valid"/>
    <tableColumn id="7" xr3:uid="{00000000-0010-0000-0500-000007000000}" name="ranking_note"/>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nput_screening" displayName="Input_screening" ref="A1:K2" totalsRowShown="0">
  <tableColumns count="11">
    <tableColumn id="1" xr3:uid="{00000000-0010-0000-0600-000001000000}" name="screening_id"/>
    <tableColumn id="2" xr3:uid="{00000000-0010-0000-0600-000002000000}" name="alert_id"/>
    <tableColumn id="3" xr3:uid="{00000000-0010-0000-0600-000003000000}" name="community"/>
    <tableColumn id="4" xr3:uid="{00000000-0010-0000-0600-000004000000}" name="decision_date"/>
    <tableColumn id="5" xr3:uid="{00000000-0010-0000-0600-000005000000}" name="population"/>
    <tableColumn id="6" xr3:uid="{00000000-0010-0000-0600-000006000000}" name="decision"/>
    <tableColumn id="7" xr3:uid="{00000000-0010-0000-0600-000007000000}" name="reason"/>
    <tableColumn id="8" xr3:uid="{00000000-0010-0000-0600-000008000000}" name="reviewed"/>
    <tableColumn id="9" xr3:uid="{00000000-0010-0000-0600-000009000000}" name="profile_summary"/>
    <tableColumn id="10" xr3:uid="{00000000-0010-0000-0600-00000A000000}" name="analysis_version"/>
    <tableColumn id="11" xr3:uid="{00000000-0010-0000-0600-00000B000000}" name="review_date"/>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put_activities" displayName="Input_activities" ref="A1:M82" totalsRowShown="0">
  <tableColumns count="13">
    <tableColumn id="1" xr3:uid="{00000000-0010-0000-0700-000001000000}" name="event_id"/>
    <tableColumn id="2" xr3:uid="{00000000-0010-0000-0700-000002000000}" name="alert_id"/>
    <tableColumn id="3" xr3:uid="{00000000-0010-0000-0700-000003000000}" name="area"/>
    <tableColumn id="4" xr3:uid="{00000000-0010-0000-0700-000004000000}" name="tier"/>
    <tableColumn id="5" xr3:uid="{00000000-0010-0000-0700-000005000000}" name="modality"/>
    <tableColumn id="6" xr3:uid="{00000000-0010-0000-0700-000006000000}" name="start_date"/>
    <tableColumn id="7" xr3:uid="{00000000-0010-0000-0700-000007000000}" name="delivery_partner"/>
    <tableColumn id="8" xr3:uid="{00000000-0010-0000-0700-000008000000}" name="quantity"/>
    <tableColumn id="9" xr3:uid="{00000000-0010-0000-0700-000009000000}" name="unit"/>
    <tableColumn id="10" xr3:uid="{00000000-0010-0000-0700-00000A000000}" name="measure_type"/>
    <tableColumn id="11" xr3:uid="{00000000-0010-0000-0700-00000B000000}" name="delivery_status"/>
    <tableColumn id="12" xr3:uid="{00000000-0010-0000-0700-00000C000000}" name="donor"/>
    <tableColumn id="13" xr3:uid="{00000000-0010-0000-0700-00000D000000}" name="delay_reaso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nput_transfers" displayName="Input_transfers" ref="A1:H2" totalsRowShown="0">
  <tableColumns count="8">
    <tableColumn id="1" xr3:uid="{00000000-0010-0000-0800-000001000000}" name="transfer_id"/>
    <tableColumn id="2" xr3:uid="{00000000-0010-0000-0800-000002000000}" name="alert_id"/>
    <tableColumn id="3" xr3:uid="{00000000-0010-0000-0800-000003000000}" name="area"/>
    <tableColumn id="4" xr3:uid="{00000000-0010-0000-0800-000004000000}" name="component"/>
    <tableColumn id="5" xr3:uid="{00000000-0010-0000-0800-000005000000}" name="from_partner"/>
    <tableColumn id="6" xr3:uid="{00000000-0010-0000-0800-000006000000}" name="to_partner"/>
    <tableColumn id="7" xr3:uid="{00000000-0010-0000-0800-000007000000}" name="transfer_date"/>
    <tableColumn id="8" xr3:uid="{00000000-0010-0000-0800-000008000000}" name="note"/>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Input_metadata" displayName="Input_metadata" ref="A1:D2" totalsRowShown="0">
  <tableColumns count="4">
    <tableColumn id="1" xr3:uid="{00000000-0010-0000-0900-000001000000}" name="mode"/>
    <tableColumn id="2" xr3:uid="{00000000-0010-0000-0900-000002000000}" name="source_updated"/>
    <tableColumn id="3" xr3:uid="{00000000-0010-0000-0900-000003000000}" name="source_version"/>
    <tableColumn id="4" xr3:uid="{00000000-0010-0000-0900-000004000000}" name="methods_note"/>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personId="{75E6C908-C7B3-4077-ACCD-EC679AA2E217}" id="{E56327E8-5CA0-495D-806D-7902D84FA723}">
    <text>Demo row from template - replace with the real GLA coverage assignments.</text>
  </threadedComment>
  <threadedComment ref="A3" personId="{75E6C908-C7B3-4077-ACCD-EC679AA2E217}" id="{69E41F42-033D-4D67-9131-3CB9D88F7556}">
    <text>Demo row from template - replace with the real GLA coverage assignments.</text>
  </threadedComment>
  <threadedComment ref="A4" personId="{75E6C908-C7B3-4077-ACCD-EC679AA2E217}" id="{317149D7-9DDB-4ED1-A00F-4C49011C336D}">
    <text>Demo row from template - replace with the real GLA coverage assignments.</text>
  </threadedComment>
  <threadedComment ref="A5" personId="{75E6C908-C7B3-4077-ACCD-EC679AA2E217}" id="{853008BC-A28F-41B2-A9A8-B8FE62AD3FF2}">
    <text>Demo row from template - replace with the real GLA coverage assignments.</text>
  </threadedComment>
  <threadedComment ref="A6" personId="{75E6C908-C7B3-4077-ACCD-EC679AA2E217}" id="{F13B60F9-D526-4B20-B62F-E25B8808B22F}">
    <text>Demo row from template - replace with the real GLA coverage assignments.</text>
  </threadedComment>
  <threadedComment ref="A7" personId="{75E6C908-C7B3-4077-ACCD-EC679AA2E217}" id="{2CEECAEA-5CAF-4241-8608-AB331B48451B}">
    <text>Demo row from template - replace with the real GLA coverage assignments.</text>
  </threadedComment>
  <threadedComment ref="A8" personId="{75E6C908-C7B3-4077-ACCD-EC679AA2E217}" id="{D890B151-785E-4819-9D00-3213CBF856F8}">
    <text>Demo row from template - replace with the real GLA coverage assignments.</text>
  </threadedComment>
  <threadedComment ref="A9" personId="{75E6C908-C7B3-4077-ACCD-EC679AA2E217}" id="{4405AC86-BBC9-40C0-8649-D8150BB570C2}">
    <text>Demo row from template - replace with the real GLA coverage assignments.</text>
  </threadedComment>
  <threadedComment ref="A10" personId="{75E6C908-C7B3-4077-ACCD-EC679AA2E217}" id="{678A0E6A-827C-4E3C-A193-883800119D39}">
    <text>Demo row from template - replace with the real GLA coverage assignments.</text>
  </threadedComment>
</ThreadedComments>
</file>

<file path=xl/threadedComments/threadedComment2.xml><?xml version="1.0" encoding="utf-8"?>
<ThreadedComments xmlns="http://schemas.microsoft.com/office/spreadsheetml/2018/threadedcomments" xmlns:x="http://schemas.openxmlformats.org/spreadsheetml/2006/main">
  <threadedComment ref="C2" personId="{75E6C908-C7B3-4077-ACCD-EC679AA2E217}" id="{E1219134-C1C7-4CCF-A729-D2AD29D0FCE3}">
    <text>Categorised from shock type: 'NSAG attacks / insecurity'. Confirm category list.</text>
  </threadedComment>
  <threadedComment ref="D2" personId="{75E6C908-C7B3-4077-ACCD-EC679AA2E217}" id="{256AC8AB-BA0A-4F9C-831E-BF1E00AAFE91}">
    <text>IOM/DTM is the alert source; RNA done by ACF. Confirm the GLA.</text>
  </threadedComment>
  <threadedComment ref="C3" personId="{75E6C908-C7B3-4077-ACCD-EC679AA2E217}" id="{4F0CB6F4-1303-4702-B6B4-AD8E82B3AD31}">
    <text>Categorised from shock type: 'Armed attacks / NSAG movement'. Confirm category list.</text>
  </threadedComment>
  <threadedComment ref="C4" personId="{75E6C908-C7B3-4077-ACCD-EC679AA2E217}" id="{F59E40C3-EA32-4638-BA92-F8C4C83F5CFC}">
    <text>Categorised from shock type: 'Armed attack'. Confirm category list.</text>
  </threadedComment>
  <threadedComment ref="L4" personId="{75E6C908-C7B3-4077-ACCD-EC679AA2E217}" id="{F74ABBF7-98AB-4B27-AD53-5626A73C0AED}">
    <text>No RNA yet: RNA fields left blank (tracker carried the alert severity forward).</text>
  </threadedComment>
  <threadedComment ref="C5" personId="{75E6C908-C7B3-4077-ACCD-EC679AA2E217}" id="{7EB535FB-9952-487A-AE70-2F4C55097D06}">
    <text>Categorised from shock type: 'Multiple armed attacks, destruction and abductions'. Confirm category list.</text>
  </threadedComment>
  <threadedComment ref="C6" personId="{75E6C908-C7B3-4077-ACCD-EC679AA2E217}" id="{BC0113DF-1653-499D-85AE-7577FA47112D}">
    <text>Categorised from shock type: 'Armed attack + fear of further attacks'. Confirm category list.</text>
  </threadedComment>
  <threadedComment ref="C7" personId="{75E6C908-C7B3-4077-ACCD-EC679AA2E217}" id="{35258012-2914-407D-8530-700D8F629121}">
    <text>Categorised from shock type: 'Armed attacks / population movement'. Confirm category list.</text>
  </threadedComment>
  <threadedComment ref="C8" personId="{75E6C908-C7B3-4077-ACCD-EC679AA2E217}" id="{66DA33BF-0A0A-4DD0-8507-C3FC73E1576C}">
    <text>Categorised from shock type: 'Recurrent NSAG attacks'. Confirm category list.</text>
  </threadedComment>
  <threadedComment ref="L8" personId="{75E6C908-C7B3-4077-ACCD-EC679AA2E217}" id="{B3994CE1-0443-4C6C-8402-DB780664B890}">
    <text>No RNA yet: RNA fields left blank (tracker carried the alert severity forward).</text>
  </threadedComment>
  <threadedComment ref="C9" personId="{75E6C908-C7B3-4077-ACCD-EC679AA2E217}" id="{AC293AA9-A8FF-4AB0-8D7B-4C5C4AA6CCDE}">
    <text>Categorised from shock type: 'Armed NSAG attack; killings, burning, looting and destruction'. Confirm category list.</text>
  </threadedComment>
  <threadedComment ref="C10" personId="{75E6C908-C7B3-4077-ACCD-EC679AA2E217}" id="{6F36722B-CDD0-4D85-AB64-E758E33F42A3}">
    <text>Categorised from shock type: 'Repeated armed attacks, killings, abductions and burned houses'. Confirm category list.</text>
  </threadedComment>
  <threadedComment ref="C11" personId="{75E6C908-C7B3-4077-ACCD-EC679AA2E217}" id="{9089E306-0C77-4202-A210-829E4765B699}">
    <text>Categorised from shock type: 'Armed attack / insecurity / fear'. Confirm category list.</text>
  </threadedComment>
  <threadedComment ref="C12" personId="{75E6C908-C7B3-4077-ACCD-EC679AA2E217}" id="{93F0E3F6-2285-47F9-869D-E262B09A51CD}">
    <text>Categorised from shock type: 'NSAG movement / abduction incident / fear of attack'. Confirm category list.</text>
  </threadedComment>
  <threadedComment ref="C13" personId="{75E6C908-C7B3-4077-ACCD-EC679AA2E217}" id="{09759795-52F0-45A1-B08F-3BFBFDAC1FAA}">
    <text>Categorised from shock type: 'Armed attack, abductions, houses burned and looted'. Confirm category list.</text>
  </threadedComment>
  <threadedComment ref="L13" personId="{75E6C908-C7B3-4077-ACCD-EC679AA2E217}" id="{444301C3-9366-4F95-AC1D-AD19DDDEC539}">
    <text>No row in Severity - RNA sheet; RNA severity taken from Alert Registry only.</text>
  </threadedComment>
  <threadedComment ref="N13" personId="{75E6C908-C7B3-4077-ACCD-EC679AA2E217}" id="{21046315-F729-4882-8A36-EED1A85F46CF}">
    <text>Severity - Alert row labelled 'RRM_NRC_MONTEPUEZ_29072026_IDP' in source (copy-paste error); matched by position/content.</text>
  </threadedComment>
  <threadedComment ref="C14" personId="{75E6C908-C7B3-4077-ACCD-EC679AA2E217}" id="{B84F2B44-F7FE-46CE-83E8-4805A3266EA1}">
    <text>Categorised from shock type: 'Return following conflict displacement'. Confirm category list.</text>
  </threadedComment>
  <threadedComment ref="L14" personId="{75E6C908-C7B3-4077-ACCD-EC679AA2E217}" id="{5C667671-14FE-40D3-84A0-2627D1A27B8D}">
    <text>No row in Severity - RNA sheet; RNA severity taken from Alert Registry only.</text>
  </threadedComment>
  <threadedComment ref="N14" personId="{75E6C908-C7B3-4077-ACCD-EC679AA2E217}" id="{D5866B9A-8868-4CC9-81AF-6F3738A63E61}">
    <text>Severity - Alert row labelled 'RRM_NRC_MONTEPUEZ_29072026_IDP' in source (copy-paste error); matched by position/content.</text>
  </threadedComment>
  <threadedComment ref="C15" personId="{75E6C908-C7B3-4077-ACCD-EC679AA2E217}" id="{34438A35-6990-49FA-88DA-ABA3D70E2713}">
    <text>Categorised from shock type: 'Armed attack / abductions / fear'. Confirm category list.</text>
  </threadedComment>
  <threadedComment ref="L15" personId="{75E6C908-C7B3-4077-ACCD-EC679AA2E217}" id="{112BE6D5-699B-4549-B31D-02AFFC59EC32}">
    <text>No row in Severity - RNA sheet; RNA severity taken from Alert Registry only.</text>
  </threadedComment>
  <threadedComment ref="C16" personId="{75E6C908-C7B3-4077-ACCD-EC679AA2E217}" id="{906B5550-D82A-4038-8CD5-8551F6B5F710}">
    <text>Categorised from shock type: 'Armed attacks / burned houses'. Confirm category list.</text>
  </threadedComment>
  <threadedComment ref="C17" personId="{75E6C908-C7B3-4077-ACCD-EC679AA2E217}" id="{D9C83ED4-53E1-470C-9BC4-18C820D701A6}">
    <text>Categorised from shock type: 'NSAG attacks / looting / burning / destruction'. Confirm category list.</text>
  </threadedComment>
  <threadedComment ref="C18" personId="{75E6C908-C7B3-4077-ACCD-EC679AA2E217}" id="{9FBE58BB-B18A-4FE6-837C-4E23C9E9D22A}">
    <text>Categorised from shock type: 'Armed attacks / NSAG movements / fear of attacks and abductions'. Confirm category list.</text>
  </threadedComment>
  <threadedComment ref="L18" personId="{75E6C908-C7B3-4077-ACCD-EC679AA2E217}" id="{107A0E04-37F1-42C3-A8C6-4021665DDF41}">
    <text>CONFLICT: Alert Registry says High; Severity - RNA scores Moderate and replaces the caseload with 93 people (final verified). Kept registry value - team to decide.</text>
  </threadedComment>
  <threadedComment ref="C19" personId="{75E6C908-C7B3-4077-ACCD-EC679AA2E217}" id="{4F0A9F95-D852-4A40-B30C-3FE04BB67A1D}">
    <text>Categorised from shock type: 'Armed attack + fear of further attacks'. Confirm category list.</text>
  </threadedComment>
  <threadedComment ref="L19" personId="{75E6C908-C7B3-4077-ACCD-EC679AA2E217}" id="{541D6419-8E65-4A1A-B898-B123F3BD8CF6}">
    <text>RNA severity, caseload (1040 HH) and stage date (6 Oct) from Severity - RNA sheet; not yet in the Alert Registry.</text>
  </threadedComment>
  <threadedComment ref="A20" personId="{75E6C908-C7B3-4077-ACCD-EC679AA2E217}" id="{2F0FA5C3-2A57-4F4E-A7BA-D6115A81B682}">
    <text>Alert ID as assigned in the RNA dataset; kept as is. Alert tracker not yet updated with this alert.</text>
  </threadedComment>
  <threadedComment ref="B20" personId="{75E6C908-C7B3-4077-ACCD-EC679AA2E217}" id="{AA627070-F38C-415C-BAF9-48EA5D738785}">
    <text>Alert date not available - add from alert tracker.</text>
  </threadedComment>
  <threadedComment ref="C20" personId="{75E6C908-C7B3-4077-ACCD-EC679AA2E217}" id="{051D5953-9153-4E3E-8F90-262ABFBEF39F}">
    <text>Assumed Conflict - confirm.</text>
  </threadedComment>
  <threadedComment ref="F20" personId="{75E6C908-C7B3-4077-ACCD-EC679AA2E217}" id="{171CA698-474E-4009-8A9A-3C5C036619DD}">
    <text>Alert caseload not available.</text>
  </threadedComment>
  <threadedComment ref="H20" personId="{75E6C908-C7B3-4077-ACCD-EC679AA2E217}" id="{BC8D7271-898F-4A42-84CB-2D41306B5A65}">
    <text>Alert severity not available.</text>
  </threadedComment>
  <threadedComment ref="L20" personId="{75E6C908-C7B3-4077-ACCD-EC679AA2E217}" id="{7A46C869-08A8-45B8-8A20-98E6467188F0}">
    <text>RNA severity not yet scored.</text>
  </threadedComment>
</ThreadedComments>
</file>

<file path=xl/threadedComments/threadedComment3.xml><?xml version="1.0" encoding="utf-8"?>
<ThreadedComments xmlns="http://schemas.microsoft.com/office/spreadsheetml/2018/threadedcomments" xmlns:x="http://schemas.openxmlformats.org/spreadsheetml/2006/main">
  <threadedComment ref="D2" personId="{75E6C908-C7B3-4077-ACCD-EC679AA2E217}" id="{CDBD77CE-EB2D-4E3A-BC59-D4A915AECFE0}">
    <text>Multiple or unresolved origins/destinations: template expects one origin-arrival segment per row. Split into separate routes with route-specific figures if available.</text>
  </threadedComment>
  <threadedComment ref="H2" personId="{75E6C908-C7B3-4077-ACCD-EC679AA2E217}" id="{BD66E8A2-162E-415F-801C-A9E727E8F1E2}">
    <text>Targeting not in source - confirm Yes/No.</text>
  </threadedComment>
  <threadedComment ref="H3" personId="{75E6C908-C7B3-4077-ACCD-EC679AA2E217}" id="{F17A1211-33C7-46A0-8669-586DFF479964}">
    <text>Targeting not in source - confirm Yes/No.</text>
  </threadedComment>
  <threadedComment ref="D4" personId="{75E6C908-C7B3-4077-ACCD-EC679AA2E217}" id="{88251050-01AA-4FDF-907C-C586E16F5E9E}">
    <text>Multiple or unresolved origins/destinations: template expects one origin-arrival segment per row. Split into separate routes with route-specific figures if available.</text>
  </threadedComment>
  <threadedComment ref="H4" personId="{75E6C908-C7B3-4077-ACCD-EC679AA2E217}" id="{A0FE8B66-7BCF-4405-AF31-B8BEB67DA9C2}">
    <text>Targeting not in source - confirm Yes/No.</text>
  </threadedComment>
  <threadedComment ref="H5" personId="{75E6C908-C7B3-4077-ACCD-EC679AA2E217}" id="{CD0DE203-24B1-407F-BB44-80E0581F3117}">
    <text>Targeting not in source - confirm Yes/No.</text>
  </threadedComment>
  <threadedComment ref="H6" personId="{75E6C908-C7B3-4077-ACCD-EC679AA2E217}" id="{98A5A505-2EA1-4C72-978A-48791EF65F78}">
    <text>Targeting not in source - confirm Yes/No.</text>
  </threadedComment>
  <threadedComment ref="D7" personId="{75E6C908-C7B3-4077-ACCD-EC679AA2E217}" id="{AB03967C-4DB5-48C3-AEAC-F334283BF893}">
    <text>Multiple or unresolved origins/destinations: template expects one origin-arrival segment per row. Split into separate routes with route-specific figures if available.</text>
  </threadedComment>
  <threadedComment ref="H7" personId="{75E6C908-C7B3-4077-ACCD-EC679AA2E217}" id="{D033EB24-0ABB-437E-9D80-F55613C118D1}">
    <text>Targeting not in source - confirm Yes/No.</text>
  </threadedComment>
  <threadedComment ref="H8" personId="{75E6C908-C7B3-4077-ACCD-EC679AA2E217}" id="{EB1656A6-BC1C-4775-B94F-8F69B3F26B2A}">
    <text>Targeting not in source - confirm Yes/No.</text>
  </threadedComment>
  <threadedComment ref="D9" personId="{75E6C908-C7B3-4077-ACCD-EC679AA2E217}" id="{59D33DD9-990A-463D-96DE-537BE13C326F}">
    <text>Multiple or unresolved origins/destinations: template expects one origin-arrival segment per row. Split into separate routes with route-specific figures if available.</text>
  </threadedComment>
  <threadedComment ref="H9" personId="{75E6C908-C7B3-4077-ACCD-EC679AA2E217}" id="{97E6B463-F5FF-4605-A0F3-23CCA712B3B9}">
    <text>Targeting not in source - confirm Yes/No.</text>
  </threadedComment>
  <threadedComment ref="H10" personId="{75E6C908-C7B3-4077-ACCD-EC679AA2E217}" id="{B3678656-AE88-453E-A3E6-48F49B8BE93C}">
    <text>Targeting not in source - confirm Yes/No.</text>
  </threadedComment>
  <threadedComment ref="D11" personId="{75E6C908-C7B3-4077-ACCD-EC679AA2E217}" id="{518A0F50-50B1-4E2B-AB0E-18D5D4B01AF7}">
    <text>Multiple or unresolved origins/destinations: template expects one origin-arrival segment per row. Split into separate routes with route-specific figures if available.</text>
  </threadedComment>
  <threadedComment ref="H11" personId="{75E6C908-C7B3-4077-ACCD-EC679AA2E217}" id="{4E8E2159-279A-46DA-B10D-5610DC376673}">
    <text>Targeting not in source - confirm Yes/No.</text>
  </threadedComment>
  <threadedComment ref="H12" personId="{75E6C908-C7B3-4077-ACCD-EC679AA2E217}" id="{5A75FE2F-B699-4A3B-9FA3-FEF661310114}">
    <text>Targeting not in source - confirm Yes/No.</text>
  </threadedComment>
  <threadedComment ref="H13" personId="{75E6C908-C7B3-4077-ACCD-EC679AA2E217}" id="{285C87DF-1D20-4BD5-BE02-EFACDC766E81}">
    <text>Targeting not in source - confirm Yes/No.</text>
  </threadedComment>
  <threadedComment ref="D14" personId="{75E6C908-C7B3-4077-ACCD-EC679AA2E217}" id="{29291401-4213-4900-8CDA-5559458FA30E}">
    <text>Multiple or unresolved origins/destinations: template expects one origin-arrival segment per row. Split into separate routes with route-specific figures if available.</text>
  </threadedComment>
  <threadedComment ref="H14" personId="{75E6C908-C7B3-4077-ACCD-EC679AA2E217}" id="{F4E258CA-2DEC-4AC5-A07C-C794D186014E}">
    <text>Targeting not in source - confirm Yes/No.</text>
  </threadedComment>
  <threadedComment ref="H15" personId="{75E6C908-C7B3-4077-ACCD-EC679AA2E217}" id="{DC98EB6A-EEEE-4056-BD58-90036C4B6A8D}">
    <text>Targeting not in source - confirm Yes/No.</text>
  </threadedComment>
  <threadedComment ref="H16" personId="{75E6C908-C7B3-4077-ACCD-EC679AA2E217}" id="{AFF1C103-5FFC-4716-B231-5691BF25C170}">
    <text>Targeting not in source - confirm Yes/No.</text>
  </threadedComment>
  <threadedComment ref="H17" personId="{75E6C908-C7B3-4077-ACCD-EC679AA2E217}" id="{F8FEA1BC-2B0B-44C9-A9BA-CDCD4E181183}">
    <text>Targeting not in source - confirm Yes/No.</text>
  </threadedComment>
  <threadedComment ref="D18" personId="{75E6C908-C7B3-4077-ACCD-EC679AA2E217}" id="{3B37A8BF-FB62-44CE-8E9D-0ED7467D0E3F}">
    <text>Multiple or unresolved origins/destinations: template expects one origin-arrival segment per row. Split into separate routes with route-specific figures if available.</text>
  </threadedComment>
  <threadedComment ref="H18" personId="{75E6C908-C7B3-4077-ACCD-EC679AA2E217}" id="{4D70F14B-5941-4E80-909A-CB984E5DB277}">
    <text>Targeting not in source - confirm Yes/No.</text>
  </threadedComment>
  <threadedComment ref="H19" personId="{75E6C908-C7B3-4077-ACCD-EC679AA2E217}" id="{F3068DBF-F867-4102-8CA3-64C8B1FE9ACF}">
    <text>Targeting not in source - confirm Yes/No.</text>
  </threadedComment>
</ThreadedComments>
</file>

<file path=xl/threadedComments/threadedComment4.xml><?xml version="1.0" encoding="utf-8"?>
<ThreadedComments xmlns="http://schemas.microsoft.com/office/spreadsheetml/2018/threadedcomments" xmlns:x="http://schemas.openxmlformats.org/spreadsheetml/2006/main">
  <threadedComment ref="D2" personId="{75E6C908-C7B3-4077-ACCD-EC679AA2E217}" id="{1CC2EAFA-F0DE-4067-86AC-0FBEE6C3D4F8}">
    <text>Interview dates from RRM merged RNA dataset (RRM_merge_data.xlsx). Previous value: blank.</text>
  </threadedComment>
  <threadedComment ref="E2" personId="{75E6C908-C7B3-4077-ACCD-EC679AA2E217}" id="{FC03B2BF-FF41-49E5-B013-663354F3D5AD}">
    <text>Interview dates from RRM merged RNA dataset (RRM_merge_data.xlsx). Previous value: blank.</text>
  </threadedComment>
  <threadedComment ref="I2" personId="{75E6C908-C7B3-4077-ACCD-EC679AA2E217}" id="{4A04AD6E-840E-47DB-8EBF-51E5C470BDB8}">
    <text>Observation count not in source.</text>
  </threadedComment>
  <threadedComment ref="L2" personId="{75E6C908-C7B3-4077-ACCD-EC679AA2E217}" id="{F11D6943-8D4D-4F79-8E70-410CFFC9ABA0}">
    <text>response_use not available in source - partner to confirm how findings informed the response.</text>
  </threadedComment>
  <threadedComment ref="I3" personId="{75E6C908-C7B3-4077-ACCD-EC679AA2E217}" id="{66765B49-C0CF-4520-A9A2-D66D72676CF0}">
    <text>Observation count not in source.</text>
  </threadedComment>
  <threadedComment ref="L3" personId="{75E6C908-C7B3-4077-ACCD-EC679AA2E217}" id="{03341DD1-1FA7-438D-B915-2AF0B2E3FB87}">
    <text>response_use not available in source - partner to confirm how findings informed the response.</text>
  </threadedComment>
  <threadedComment ref="I4" personId="{75E6C908-C7B3-4077-ACCD-EC679AA2E217}" id="{FBDC9987-A3C4-4486-880B-09D086AE1E31}">
    <text>Observation count not in source.</text>
  </threadedComment>
  <threadedComment ref="L4" personId="{75E6C908-C7B3-4077-ACCD-EC679AA2E217}" id="{7AF66066-1BDA-40DD-9B80-7447CD813312}">
    <text>response_use not available in source - partner to confirm how findings informed the response.</text>
  </threadedComment>
  <threadedComment ref="D5" personId="{75E6C908-C7B3-4077-ACCD-EC679AA2E217}" id="{0190A5B4-5026-4700-A6C3-F394ED0D4F75}">
    <text>Interview dates from RRM merged RNA dataset (RRM_merge_data.xlsx). Previous value: 2026-05-10.</text>
  </threadedComment>
  <threadedComment ref="E5" personId="{75E6C908-C7B3-4077-ACCD-EC679AA2E217}" id="{BF8E6DE3-A70D-427A-8F99-4298AAD54C3D}">
    <text>Interview dates from RRM merged RNA dataset (RRM_merge_data.xlsx). Previous value: 2026-05-11.</text>
  </threadedComment>
  <threadedComment ref="L5" personId="{75E6C908-C7B3-4077-ACCD-EC679AA2E217}" id="{FE0B56A0-75E6-4F85-811D-047C74440352}">
    <text>response_use not available in source - partner to confirm how findings informed the response.</text>
  </threadedComment>
  <threadedComment ref="D6" personId="{75E6C908-C7B3-4077-ACCD-EC679AA2E217}" id="{96D535D6-B51E-417F-8B52-22DB7467F5CC}">
    <text>Interview dates from RRM merged RNA dataset (RRM_merge_data.xlsx). Previous value: blank.</text>
  </threadedComment>
  <threadedComment ref="E6" personId="{75E6C908-C7B3-4077-ACCD-EC679AA2E217}" id="{42893BF9-0707-41C2-8194-BE928DF5EE9C}">
    <text>Interview dates from RRM merged RNA dataset (RRM_merge_data.xlsx). Previous value: blank.</text>
  </threadedComment>
  <threadedComment ref="L6" personId="{75E6C908-C7B3-4077-ACCD-EC679AA2E217}" id="{D0FD3FC5-361F-49C9-8EE9-0C921BE4CE4A}">
    <text>response_use not available in source - partner to confirm how findings informed the response.</text>
  </threadedComment>
  <threadedComment ref="D7" personId="{75E6C908-C7B3-4077-ACCD-EC679AA2E217}" id="{66D53EC5-CC28-475E-9354-E8E8EC384238}">
    <text>Interview dates from RRM merged RNA dataset (RRM_merge_data.xlsx). Previous value: 2026-05-30.</text>
  </threadedComment>
  <threadedComment ref="E7" personId="{75E6C908-C7B3-4077-ACCD-EC679AA2E217}" id="{B99819B5-01F7-4B7F-ABC0-2AB4D39070D9}">
    <text>Interview dates from RRM merged RNA dataset (RRM_merge_data.xlsx). Previous value: 2026-05-30.</text>
  </threadedComment>
  <threadedComment ref="L7" personId="{75E6C908-C7B3-4077-ACCD-EC679AA2E217}" id="{D57BA3C4-7E43-4EB4-9B75-A51CA025E047}">
    <text>response_use not available in source - partner to confirm how findings informed the response.</text>
  </threadedComment>
  <threadedComment ref="D8" personId="{75E6C908-C7B3-4077-ACCD-EC679AA2E217}" id="{D8A813D2-FD6C-4F91-BF17-38ADD8F80072}">
    <text>Interview dates from RRM merged RNA dataset (RRM_merge_data.xlsx). Previous value: blank.</text>
  </threadedComment>
  <threadedComment ref="E8" personId="{75E6C908-C7B3-4077-ACCD-EC679AA2E217}" id="{08A2866E-6B6D-471F-89E1-DD4A254EFF46}">
    <text>Interview dates from RRM merged RNA dataset (RRM_merge_data.xlsx). Previous value: blank.</text>
  </threadedComment>
  <threadedComment ref="L8" personId="{75E6C908-C7B3-4077-ACCD-EC679AA2E217}" id="{7951B4EE-6C2D-4954-91E7-412921F4B745}">
    <text>response_use not available in source - partner to confirm how findings informed the response.</text>
  </threadedComment>
  <threadedComment ref="D9" personId="{75E6C908-C7B3-4077-ACCD-EC679AA2E217}" id="{03020D2B-EDC9-4C1F-8AA0-85520FC9A9C1}">
    <text>Interview dates from RRM merged RNA dataset (RRM_merge_data.xlsx). Previous value: blank.</text>
  </threadedComment>
  <threadedComment ref="E9" personId="{75E6C908-C7B3-4077-ACCD-EC679AA2E217}" id="{D61F3BC2-CF33-4153-A6AB-5A4755789BD8}">
    <text>Interview dates from RRM merged RNA dataset (RRM_merge_data.xlsx). Previous value: blank.</text>
  </threadedComment>
  <threadedComment ref="L9" personId="{75E6C908-C7B3-4077-ACCD-EC679AA2E217}" id="{B1238EDB-A6B7-419D-A292-53E5AA9DFC28}">
    <text>response_use not available in source - partner to confirm how findings informed the response.</text>
  </threadedComment>
  <threadedComment ref="B10" personId="{75E6C908-C7B3-4077-ACCD-EC679AA2E217}" id="{2BC94583-C351-4832-A59C-64B16160A4DC}">
    <text>Source file used 'Alert_SI_ANC_31072026_IDPs'; aligned to alert tracker ID.</text>
  </threadedComment>
  <threadedComment ref="D10" personId="{75E6C908-C7B3-4077-ACCD-EC679AA2E217}" id="{AB7D0E86-9020-47F1-8748-0E190808D5D3}">
    <text>Interview dates from RRM merged RNA dataset (RRM_merge_data.xlsx). Previous value: blank.</text>
  </threadedComment>
  <threadedComment ref="E10" personId="{75E6C908-C7B3-4077-ACCD-EC679AA2E217}" id="{E2C217F5-7DCF-4810-9A6A-AD1CE5C2D56E}">
    <text>Interview dates from RRM merged RNA dataset (RRM_merge_data.xlsx). Previous value: blank.</text>
  </threadedComment>
  <threadedComment ref="L10" personId="{75E6C908-C7B3-4077-ACCD-EC679AA2E217}" id="{0959E729-9692-4E41-99BE-E3FB85B0EB6B}">
    <text>response_use not available in source - partner to confirm how findings informed the response.</text>
  </threadedComment>
  <threadedComment ref="D11" personId="{75E6C908-C7B3-4077-ACCD-EC679AA2E217}" id="{7437A78F-9277-46F5-A7CD-9D5413EC3206}">
    <text>Interview dates from RRM merged RNA dataset (RRM_merge_data.xlsx). Previous value: blank.</text>
  </threadedComment>
  <threadedComment ref="E11" personId="{75E6C908-C7B3-4077-ACCD-EC679AA2E217}" id="{9723191E-1A0D-4CA0-94CD-1BA407D01F2A}">
    <text>Interview dates from RRM merged RNA dataset (RRM_merge_data.xlsx). Previous value: blank.</text>
  </threadedComment>
  <threadedComment ref="L11" personId="{75E6C908-C7B3-4077-ACCD-EC679AA2E217}" id="{E3E2A178-7EEB-45AC-8F77-6C4D7893CFFB}">
    <text>response_use not available in source - partner to confirm how findings informed the response.</text>
  </threadedComment>
  <threadedComment ref="B12" personId="{75E6C908-C7B3-4077-ACCD-EC679AA2E217}" id="{CFE031A2-E4B9-4EE0-A32F-D682834D0088}">
    <text>Source file used 'Alert_ACF_QUI_11082026_IDPs'; aligned to alert tracker ID.</text>
  </threadedComment>
  <threadedComment ref="L12" personId="{75E6C908-C7B3-4077-ACCD-EC679AA2E217}" id="{886FA8AD-0E57-4B31-B224-55034638BBF6}">
    <text>response_use not available in source - partner to confirm how findings informed the response.</text>
  </threadedComment>
  <threadedComment ref="B13" personId="{75E6C908-C7B3-4077-ACCD-EC679AA2E217}" id="{45E8A4D7-B6EA-496F-9DD7-310C74698D0E}">
    <text>Source file used '[TBC] SI_ANC_Returnees_Aug2026'; aligned to alert tracker ID.</text>
  </threadedComment>
  <threadedComment ref="D13" personId="{75E6C908-C7B3-4077-ACCD-EC679AA2E217}" id="{21A47D63-1266-4B07-B508-B94EFF0D5D80}">
    <text>Interview dates from RRM merged RNA dataset (RRM_merge_data.xlsx). Previous value: 2026-08-11.</text>
  </threadedComment>
  <threadedComment ref="E13" personId="{75E6C908-C7B3-4077-ACCD-EC679AA2E217}" id="{276ED8AF-4154-4116-9356-19AD4F8E1260}">
    <text>Interview dates from RRM merged RNA dataset (RRM_merge_data.xlsx). Previous value: 2026-08-17.</text>
  </threadedComment>
  <threadedComment ref="L13" personId="{75E6C908-C7B3-4077-ACCD-EC679AA2E217}" id="{17EF3AB4-9309-4D78-BBDC-A97DE4228F87}">
    <text>response_use not available in source - partner to confirm how findings informed the response.</text>
  </threadedComment>
  <threadedComment ref="D14" personId="{75E6C908-C7B3-4077-ACCD-EC679AA2E217}" id="{0F2A2D9E-C87A-49AA-8D5B-B452B1542A5A}">
    <text>Interview dates from RRM merged RNA dataset (RRM_merge_data.xlsx). Previous value: 2026-08-25.</text>
  </threadedComment>
  <threadedComment ref="E14" personId="{75E6C908-C7B3-4077-ACCD-EC679AA2E217}" id="{7CADEAAF-DF00-41C5-BF73-94ADB03DCF52}">
    <text>Interview dates from RRM merged RNA dataset (RRM_merge_data.xlsx). Previous value: 2026-08-25.</text>
  </threadedComment>
  <threadedComment ref="L14" personId="{75E6C908-C7B3-4077-ACCD-EC679AA2E217}" id="{400BE5D9-81CC-4006-99B5-FC1E44287F86}">
    <text>response_use not available in source - partner to confirm how findings informed the response.</text>
  </threadedComment>
  <threadedComment ref="L15" personId="{75E6C908-C7B3-4077-ACCD-EC679AA2E217}" id="{A7364C59-7126-47FB-B71C-660FFCA04628}">
    <text>response_use not available in source - partner to confirm how findings informed the response.</text>
  </threadedComment>
  <threadedComment ref="D16" personId="{75E6C908-C7B3-4077-ACCD-EC679AA2E217}" id="{FA6A432C-01AD-40C0-A2B0-8B727D7FA17B}">
    <text>Interview dates from RRM merged RNA dataset (RRM_merge_data.xlsx). Previous value: 2026-09-18.</text>
  </threadedComment>
  <threadedComment ref="E16" personId="{75E6C908-C7B3-4077-ACCD-EC679AA2E217}" id="{95BA6737-6018-44D7-94D7-6CE16D106CE9}">
    <text>Interview dates from RRM merged RNA dataset (RRM_merge_data.xlsx). Previous value: 2026-09-18.</text>
  </threadedComment>
  <threadedComment ref="L16" personId="{75E6C908-C7B3-4077-ACCD-EC679AA2E217}" id="{25894748-A337-4B6B-8251-56286B78F609}">
    <text>response_use not available in source - partner to confirm how findings informed the response.</text>
  </threadedComment>
  <threadedComment ref="B17" personId="{75E6C908-C7B3-4077-ACCD-EC679AA2E217}" id="{C6E96B32-17EF-476F-9A0E-4CDEE5EF1C4E}">
    <text>Matches master alert list in severity workbook.</text>
  </threadedComment>
  <threadedComment ref="H17" personId="{75E6C908-C7B3-4077-ACCD-EC679AA2E217}" id="{5C51D193-0AF2-418A-B389-F1813D97B513}">
    <text>22 HESPER interviews from RRM merged RNA dataset (RRM_merge_data.xlsx) (not in the summary file).</text>
  </threadedComment>
  <threadedComment ref="I17" personId="{75E6C908-C7B3-4077-ACCD-EC679AA2E217}" id="{EBBB9BE8-B972-4CB2-B5F7-D115795BE889}">
    <text>Observation count not in source.</text>
  </threadedComment>
  <threadedComment ref="K17" personId="{75E6C908-C7B3-4077-ACCD-EC679AA2E217}" id="{697B0066-8C0B-44F3-B2CD-A0546F377B7C}">
    <text>Source text says HESPER not included; 22 HESPER interviews have since been added from the merged dataset. Update this limitation.</text>
  </threadedComment>
  <threadedComment ref="L17" personId="{75E6C908-C7B3-4077-ACCD-EC679AA2E217}" id="{3792DB4E-AC6C-4824-B116-DB233EDCA00C}">
    <text>response_use not available in source - partner to confirm how findings informed the response.</text>
  </threadedComment>
  <threadedComment ref="A18" personId="{75E6C908-C7B3-4077-ACCD-EC679AA2E217}" id="{CE09A129-8D79-4805-8C0B-DA98ED7663F2}">
    <text>New RNA added from merged dataset; assumed Tier 1.</text>
  </threadedComment>
  <threadedComment ref="H18" personId="{75E6C908-C7B3-4077-ACCD-EC679AA2E217}" id="{37B5415B-A80A-489D-87BB-D71BB23672CA}">
    <text>31 HESPER interviews: 29 tagged to the Mirate alert + 2 tagged Alert_SI_ANC_31072026_IDPs but collected in Montepuez on 11 Oct (confirmed as Mirate).</text>
  </threadedComment>
  <threadedComment ref="I18" personId="{75E6C908-C7B3-4077-ACCD-EC679AA2E217}" id="{B56D6741-F625-4A2B-8F8F-F98E9CEB055B}">
    <text>Observation count not identifiable in merged dataset.</text>
  </threadedComment>
  <threadedComment ref="K18" personId="{75E6C908-C7B3-4077-ACCD-EC679AA2E217}" id="{9FF0D983-8AF4-4A99-80C7-CD6E43FB6280}">
    <text>Limitations not available - add from RNA brief.</text>
  </threadedComment>
  <threadedComment ref="L18" personId="{75E6C908-C7B3-4077-ACCD-EC679AA2E217}" id="{D6C2510D-D6A4-4E24-B1C5-77C68E252702}">
    <text>response_use not available - partner to confirm.</text>
  </threadedComment>
</ThreadedComments>
</file>

<file path=xl/threadedComments/threadedComment5.xml><?xml version="1.0" encoding="utf-8"?>
<ThreadedComments xmlns="http://schemas.microsoft.com/office/spreadsheetml/2018/threadedcomments" xmlns:x="http://schemas.openxmlformats.org/spreadsheetml/2006/main">
  <threadedComment ref="D14" personId="{75E6C908-C7B3-4077-ACCD-EC679AA2E217}" id="{7DE7142A-DC8E-490C-8994-D5A907DA1D52}">
    <text>KII-only count recalculated from RRM merged RNA dataset (RRM_merge_data.xlsx) (Light RNA KIIs, excluding community interviews).</text>
  </threadedComment>
  <threadedComment ref="D15" personId="{75E6C908-C7B3-4077-ACCD-EC679AA2E217}" id="{C3D4D1AD-A040-4775-B2BE-2C3A2F446A9B}">
    <text>KII-only count recalculated from RRM merged RNA dataset (RRM_merge_data.xlsx) (Light RNA KIIs, excluding community interviews).</text>
  </threadedComment>
  <threadedComment ref="D16" personId="{75E6C908-C7B3-4077-ACCD-EC679AA2E217}" id="{4E75D220-5F04-44F6-A83A-E7FE00E31270}">
    <text>KII-only count recalculated from RRM merged RNA dataset (RRM_merge_data.xlsx) (Light RNA KIIs, excluding community interviews).</text>
  </threadedComment>
  <threadedComment ref="D17" personId="{75E6C908-C7B3-4077-ACCD-EC679AA2E217}" id="{C9DCD5E4-5D6D-49DA-AED4-EEC3ECB8EEC1}">
    <text>KII-only count recalculated from RRM merged RNA dataset (RRM_merge_data.xlsx) (Light RNA KIIs, excluding community interviews).</text>
  </threadedComment>
  <threadedComment ref="D18" personId="{75E6C908-C7B3-4077-ACCD-EC679AA2E217}" id="{C068550E-DB03-4B29-8BD9-8FE04C9E2E24}">
    <text>KII-only count recalculated from RRM merged RNA dataset (RRM_merge_data.xlsx) (Light RNA KIIs, excluding community interviews).</text>
  </threadedComment>
  <threadedComment ref="D19" personId="{75E6C908-C7B3-4077-ACCD-EC679AA2E217}" id="{1745A202-B01B-4E20-BBFE-D48FA7D94ACD}">
    <text>KII-only count recalculated from RRM merged RNA dataset (RRM_merge_data.xlsx) (Light RNA KIIs, excluding community interviews).</text>
  </threadedComment>
  <threadedComment ref="D20" personId="{75E6C908-C7B3-4077-ACCD-EC679AA2E217}" id="{DA9C980A-BD46-48F0-B3C3-0D0CABD97700}">
    <text>KII-only count recalculated from RRM merged RNA dataset (RRM_merge_data.xlsx) (Light RNA KIIs, excluding community interviews).</text>
  </threadedComment>
  <threadedComment ref="D21" personId="{75E6C908-C7B3-4077-ACCD-EC679AA2E217}" id="{895D1C2C-264F-4E50-A601-CDDADFEB8409}">
    <text>KII-only count recalculated from RRM merged RNA dataset (RRM_merge_data.xlsx) (Light RNA KIIs, excluding community interviews).</text>
  </threadedComment>
  <threadedComment ref="D22" personId="{75E6C908-C7B3-4077-ACCD-EC679AA2E217}" id="{B837579D-05E1-4FB2-85FD-1BC46D4D65F1}">
    <text>KII-only count recalculated from RRM merged RNA dataset (RRM_merge_data.xlsx) (Light RNA KIIs, excluding community interviews).</text>
  </threadedComment>
  <threadedComment ref="D23" personId="{75E6C908-C7B3-4077-ACCD-EC679AA2E217}" id="{57EFE9E8-9799-408E-B2E5-5A883EA0A706}">
    <text>KII-only count recalculated from RRM merged RNA dataset (RRM_merge_data.xlsx) (Light RNA KIIs, excluding community interviews).</text>
  </threadedComment>
  <threadedComment ref="D24" personId="{75E6C908-C7B3-4077-ACCD-EC679AA2E217}" id="{D7CA5B8C-D822-4576-8649-97B9CAB95B84}">
    <text>KII-only count recalculated from RRM merged RNA dataset (RRM_merge_data.xlsx) (Light RNA KIIs, excluding community interviews).</text>
  </threadedComment>
  <threadedComment ref="D25" personId="{75E6C908-C7B3-4077-ACCD-EC679AA2E217}" id="{7F95FB08-1A0F-4BD9-B254-20AB467C0869}">
    <text>KII-only count recalculated from RRM merged RNA dataset (RRM_merge_data.xlsx) (Light RNA KIIs, excluding community interviews).</text>
  </threadedComment>
  <threadedComment ref="B26" personId="{75E6C908-C7B3-4077-ACCD-EC679AA2E217}" id="{E794CDEA-F166-439B-B03F-78CBCFF837F1}">
    <text>Need category mapped from a HESPER item (see ranking_note). Confirm the mapping.</text>
  </threadedComment>
  <threadedComment ref="C26" personId="{75E6C908-C7B3-4077-ACCD-EC679AA2E217}" id="{F49D1A48-DB00-4CA9-8F83-A0256CE90FAE}">
    <text>No reviewed combined ranking in source (KII and HESPER rankings differ or only one stream). Team to decide rank.</text>
  </threadedComment>
  <threadedComment ref="C27" personId="{75E6C908-C7B3-4077-ACCD-EC679AA2E217}" id="{55F52136-74D4-4510-A007-1F725F2FD2C3}">
    <text>No reviewed combined ranking in source (KII and HESPER rankings differ or only one stream). Team to decide rank.</text>
  </threadedComment>
  <threadedComment ref="C28" personId="{75E6C908-C7B3-4077-ACCD-EC679AA2E217}" id="{92769A2B-88CC-465D-8433-4C030A798D21}">
    <text>No reviewed combined ranking in source (KII and HESPER rankings differ or only one stream). Team to decide rank.</text>
  </threadedComment>
  <threadedComment ref="B29" personId="{75E6C908-C7B3-4077-ACCD-EC679AA2E217}" id="{6B46851B-981D-43CC-BFE6-B207CB37207C}">
    <text>Need category mapped from a HESPER item (see ranking_note). Confirm the mapping.</text>
  </threadedComment>
  <threadedComment ref="C29" personId="{75E6C908-C7B3-4077-ACCD-EC679AA2E217}" id="{7F1DFDB7-A315-411D-AC78-36570F177F53}">
    <text>No reviewed combined ranking in source (KII and HESPER rankings differ or only one stream). Team to decide rank.</text>
  </threadedComment>
  <threadedComment ref="D30" personId="{75E6C908-C7B3-4077-ACCD-EC679AA2E217}" id="{52B48EA7-33CF-4382-9DCF-6DB8B5359925}">
    <text>KII-only count recalculated from RRM merged RNA dataset (RRM_merge_data.xlsx) (Light RNA KIIs, excluding community interviews).</text>
  </threadedComment>
  <threadedComment ref="D31" personId="{75E6C908-C7B3-4077-ACCD-EC679AA2E217}" id="{544C446D-7677-4DA6-888A-B177DF7098E7}">
    <text>KII-only count recalculated from RRM merged RNA dataset (RRM_merge_data.xlsx) (Light RNA KIIs, excluding community interviews).</text>
  </threadedComment>
  <threadedComment ref="D32" personId="{75E6C908-C7B3-4077-ACCD-EC679AA2E217}" id="{4F42025F-7B95-4372-9D69-FFF559C4BA55}">
    <text>KII-only count recalculated from RRM merged RNA dataset (RRM_merge_data.xlsx) (Light RNA KIIs, excluding community interviews).</text>
  </threadedComment>
  <threadedComment ref="C33" personId="{75E6C908-C7B3-4077-ACCD-EC679AA2E217}" id="{D172B7AB-5FB7-4825-A320-898A4BD6A142}">
    <text>No reviewed combined ranking in source (KII and HESPER rankings differ or only one stream). Team to decide rank.</text>
  </threadedComment>
  <threadedComment ref="B34" personId="{75E6C908-C7B3-4077-ACCD-EC679AA2E217}" id="{6F94DF1C-635D-4E73-8D9B-3C6BC8C54244}">
    <text>Need category mapped from a HESPER item (see ranking_note). Confirm the mapping.</text>
  </threadedComment>
  <threadedComment ref="C34" personId="{75E6C908-C7B3-4077-ACCD-EC679AA2E217}" id="{FC4DB6A6-676D-4D24-B397-98499D7A64C0}">
    <text>No reviewed combined ranking in source (KII and HESPER rankings differ or only one stream). Team to decide rank.</text>
  </threadedComment>
  <threadedComment ref="C35" personId="{75E6C908-C7B3-4077-ACCD-EC679AA2E217}" id="{D915FFC8-48E1-40AE-90E9-D4419243F031}">
    <text>No reviewed combined ranking in source (KII and HESPER rankings differ or only one stream). Team to decide rank.</text>
  </threadedComment>
  <threadedComment ref="B36" personId="{75E6C908-C7B3-4077-ACCD-EC679AA2E217}" id="{F11C81E2-4630-4677-B5F0-C988A3E8C6CE}">
    <text>Need category mapped from a HESPER item (see ranking_note). Confirm the mapping.</text>
  </threadedComment>
  <threadedComment ref="C36" personId="{75E6C908-C7B3-4077-ACCD-EC679AA2E217}" id="{9F1D00F4-3463-4F1B-A3B5-BDBE840A0D90}">
    <text>No reviewed combined ranking in source (KII and HESPER rankings differ or only one stream). Team to decide rank.</text>
  </threadedComment>
  <threadedComment ref="C37" personId="{75E6C908-C7B3-4077-ACCD-EC679AA2E217}" id="{980E3D13-2A08-4926-9A39-FBB726445FE7}">
    <text>No reviewed combined ranking in source (KII and HESPER rankings differ or only one stream). Team to decide rank.</text>
  </threadedComment>
  <threadedComment ref="C38" personId="{75E6C908-C7B3-4077-ACCD-EC679AA2E217}" id="{B88299FC-F8B5-4EEB-9E0B-3DFC1E5653BD}">
    <text>No reviewed combined ranking in source (KII and HESPER rankings differ or only one stream). Team to decide rank.</text>
  </threadedComment>
  <threadedComment ref="C39" personId="{75E6C908-C7B3-4077-ACCD-EC679AA2E217}" id="{39634F1E-AA48-44FC-9875-E52CCCE263B1}">
    <text>No reviewed combined ranking in source (KII and HESPER rankings differ or only one stream). Team to decide rank.</text>
  </threadedComment>
  <threadedComment ref="B40" personId="{75E6C908-C7B3-4077-ACCD-EC679AA2E217}" id="{F18823F5-2CE0-4199-BF16-249BE2040555}">
    <text>Need category mapped from a HESPER item (see ranking_note). Confirm the mapping.</text>
  </threadedComment>
  <threadedComment ref="C40" personId="{75E6C908-C7B3-4077-ACCD-EC679AA2E217}" id="{32ED98CF-A7FB-4FCA-B47F-50B967772B64}">
    <text>No reviewed combined ranking in source (KII and HESPER rankings differ or only one stream). Team to decide rank.</text>
  </threadedComment>
  <threadedComment ref="B41" personId="{75E6C908-C7B3-4077-ACCD-EC679AA2E217}" id="{80EBC000-A627-4A79-929B-C4C8AFBE414E}">
    <text>Need category mapped from a HESPER item (see ranking_note). Confirm the mapping.</text>
  </threadedComment>
  <threadedComment ref="C41" personId="{75E6C908-C7B3-4077-ACCD-EC679AA2E217}" id="{72640D3E-9014-4A3A-9B56-A1F79A63A601}">
    <text>No reviewed combined ranking in source (KII and HESPER rankings differ or only one stream). Team to decide rank.</text>
  </threadedComment>
  <threadedComment ref="C42" personId="{75E6C908-C7B3-4077-ACCD-EC679AA2E217}" id="{2DBCBFB2-C522-46AF-877C-2E05FA440666}">
    <text>No reviewed combined ranking in source (KII and HESPER rankings differ or only one stream). Team to decide rank.</text>
  </threadedComment>
  <threadedComment ref="B43" personId="{75E6C908-C7B3-4077-ACCD-EC679AA2E217}" id="{3801A93B-6775-42FE-8DAB-46F3521E1429}">
    <text>Need category mapped from a HESPER item (see ranking_note). Confirm the mapping.</text>
  </threadedComment>
  <threadedComment ref="C43" personId="{75E6C908-C7B3-4077-ACCD-EC679AA2E217}" id="{98E7F7A5-43E6-4929-8ADE-4CE3892476E9}">
    <text>No reviewed combined ranking in source (KII and HESPER rankings differ or only one stream). Team to decide rank.</text>
  </threadedComment>
  <threadedComment ref="B44" personId="{75E6C908-C7B3-4077-ACCD-EC679AA2E217}" id="{6FC333C2-5E2C-4121-9113-DC72A6E02B08}">
    <text>Need category mapped from a HESPER item (see ranking_note). Confirm the mapping.</text>
  </threadedComment>
  <threadedComment ref="C44" personId="{75E6C908-C7B3-4077-ACCD-EC679AA2E217}" id="{6BE5BC9C-CCD3-43A5-865E-6A88F3965E5E}">
    <text>No reviewed combined ranking in source (KII and HESPER rankings differ or only one stream). Team to decide rank.</text>
  </threadedComment>
  <threadedComment ref="C45" personId="{75E6C908-C7B3-4077-ACCD-EC679AA2E217}" id="{25E519FA-9008-4C77-8BEE-056EF3EC40AB}">
    <text>No reviewed combined ranking in source (KII and HESPER rankings differ or only one stream). Team to decide rank.</text>
  </threadedComment>
  <threadedComment ref="B46" personId="{75E6C908-C7B3-4077-ACCD-EC679AA2E217}" id="{EE4AAD76-65EC-45A4-9F12-A4475B7EE9E4}">
    <text>Need category mapped from a HESPER item (see ranking_note). Confirm the mapping.</text>
  </threadedComment>
  <threadedComment ref="C46" personId="{75E6C908-C7B3-4077-ACCD-EC679AA2E217}" id="{7F2B44AA-B321-465A-BFAD-B9D55613D5BF}">
    <text>No reviewed combined ranking in source (KII and HESPER rankings differ or only one stream). Team to decide rank.</text>
  </threadedComment>
  <threadedComment ref="C47" personId="{75E6C908-C7B3-4077-ACCD-EC679AA2E217}" id="{858E1770-E698-433C-B394-3C8EC8DD7FA9}">
    <text>No reviewed combined ranking in source (KII and HESPER rankings differ or only one stream). Team to decide rank.</text>
  </threadedComment>
  <threadedComment ref="B48" personId="{75E6C908-C7B3-4077-ACCD-EC679AA2E217}" id="{E479688F-B26C-46F7-9EA0-CE50E9231A56}">
    <text>Need category mapped from a HESPER item (see ranking_note). Confirm the mapping.</text>
  </threadedComment>
  <threadedComment ref="C48" personId="{75E6C908-C7B3-4077-ACCD-EC679AA2E217}" id="{266CA6C4-1E59-4B5B-9763-35138BC2043C}">
    <text>No reviewed combined ranking in source (KII and HESPER rankings differ or only one stream). Team to decide rank.</text>
  </threadedComment>
  <threadedComment ref="C49" personId="{75E6C908-C7B3-4077-ACCD-EC679AA2E217}" id="{4B6CBCB9-8042-4B03-BDC4-0DD462D1905E}">
    <text>No reviewed combined ranking in source (KII and HESPER rankings differ or only one stream). Team to decide rank.</text>
  </threadedComment>
  <threadedComment ref="B50" personId="{75E6C908-C7B3-4077-ACCD-EC679AA2E217}" id="{26F46C5E-7C80-410B-A67A-654AFF09A67D}">
    <text>Need category mapped from a HESPER item (see ranking_note). Confirm the mapping.</text>
  </threadedComment>
  <threadedComment ref="C50" personId="{75E6C908-C7B3-4077-ACCD-EC679AA2E217}" id="{2BE7577D-1675-4C0F-9181-EE0A8639B535}">
    <text>No reviewed combined ranking in source (KII and HESPER rankings differ or only one stream). Team to decide rank.</text>
  </threadedComment>
  <threadedComment ref="B51" personId="{75E6C908-C7B3-4077-ACCD-EC679AA2E217}" id="{F2C26BCA-8570-4FD5-9F34-C270C1251D13}">
    <text>Need category mapped from a HESPER item (see ranking_note). Confirm the mapping.</text>
  </threadedComment>
  <threadedComment ref="C51" personId="{75E6C908-C7B3-4077-ACCD-EC679AA2E217}" id="{F37CA0AF-E034-40DD-96BE-76AB36F2AA79}">
    <text>No reviewed combined ranking in source (KII and HESPER rankings differ or only one stream). Team to decide rank.</text>
  </threadedComment>
  <threadedComment ref="C52" personId="{75E6C908-C7B3-4077-ACCD-EC679AA2E217}" id="{7F974AF8-EAE2-43B7-B150-2B25ADEDA406}">
    <text>No reviewed combined ranking in source (KII and HESPER rankings differ or only one stream). Team to decide rank.</text>
  </threadedComment>
  <threadedComment ref="E52" personId="{75E6C908-C7B3-4077-ACCD-EC679AA2E217}" id="{D0AE6942-DAE3-4A1A-9385-9D558DCAB877}">
    <text>From RRM merged RNA dataset (RRM_merge_data.xlsx).</text>
  </threadedComment>
  <threadedComment ref="F52" personId="{75E6C908-C7B3-4077-ACCD-EC679AA2E217}" id="{995449C6-0521-4DF9-A2AD-CE40528EF977}">
    <text>From RRM merged RNA dataset (RRM_merge_data.xlsx).</text>
  </threadedComment>
  <threadedComment ref="C53" personId="{75E6C908-C7B3-4077-ACCD-EC679AA2E217}" id="{302B4F69-1658-4C8D-A3D2-A9D2D450FE34}">
    <text>No reviewed combined ranking in source (KII and HESPER rankings differ or only one stream). Team to decide rank.</text>
  </threadedComment>
  <threadedComment ref="E53" personId="{75E6C908-C7B3-4077-ACCD-EC679AA2E217}" id="{FA58A380-8320-46E2-9C9F-3D8F29EF04FA}">
    <text>From RRM merged RNA dataset (RRM_merge_data.xlsx).</text>
  </threadedComment>
  <threadedComment ref="F53" personId="{75E6C908-C7B3-4077-ACCD-EC679AA2E217}" id="{C2DA2E7E-6CEB-4688-BDF6-D5FBE1762BA3}">
    <text>From RRM merged RNA dataset (RRM_merge_data.xlsx).</text>
  </threadedComment>
  <threadedComment ref="C54" personId="{75E6C908-C7B3-4077-ACCD-EC679AA2E217}" id="{3F3583E7-D118-4402-99B5-452CC941282B}">
    <text>No reviewed combined ranking in source (KII and HESPER rankings differ or only one stream). Team to decide rank.</text>
  </threadedComment>
  <threadedComment ref="E54" personId="{75E6C908-C7B3-4077-ACCD-EC679AA2E217}" id="{857E386A-85A0-483B-B929-219B60B24552}">
    <text>From RRM merged RNA dataset (RRM_merge_data.xlsx).</text>
  </threadedComment>
  <threadedComment ref="F54" personId="{75E6C908-C7B3-4077-ACCD-EC679AA2E217}" id="{CFCB13DF-7702-4F62-9749-4EFC32D35242}">
    <text>From RRM merged RNA dataset (RRM_merge_data.xlsx).</text>
  </threadedComment>
  <threadedComment ref="C55" personId="{75E6C908-C7B3-4077-ACCD-EC679AA2E217}" id="{2A4737FD-4495-4B8F-BCC6-E11186D7B8B8}">
    <text>No reviewed combined ranking in source - team to decide rank.</text>
  </threadedComment>
  <threadedComment ref="B56" personId="{75E6C908-C7B3-4077-ACCD-EC679AA2E217}" id="{F6E014F9-F17C-4F49-848A-43303440FD78}">
    <text>Need category mapped from a HESPER item (see ranking_note). Confirm the mapping.</text>
  </threadedComment>
  <threadedComment ref="C56" personId="{75E6C908-C7B3-4077-ACCD-EC679AA2E217}" id="{8BB38E4E-F551-4EF0-86C9-D1C477FC025A}">
    <text>No reviewed combined ranking in source - team to decide rank.</text>
  </threadedComment>
  <threadedComment ref="C57" personId="{75E6C908-C7B3-4077-ACCD-EC679AA2E217}" id="{5EC6ECBE-DD35-4C6A-8E8E-A02EF0DFD144}">
    <text>No reviewed combined ranking in source - team to decide rank.</text>
  </threadedComment>
  <threadedComment ref="B58" personId="{75E6C908-C7B3-4077-ACCD-EC679AA2E217}" id="{2DC921AB-0A08-402F-BFA3-36364A0EB018}">
    <text>Need category mapped from a HESPER item (see ranking_note). Confirm the mapping.</text>
  </threadedComment>
  <threadedComment ref="C58" personId="{75E6C908-C7B3-4077-ACCD-EC679AA2E217}" id="{659840D0-EBF9-433A-970A-8F782E0D93C5}">
    <text>No reviewed combined ranking in source - team to decide rank.</text>
  </threadedComment>
</ThreadedComments>
</file>

<file path=xl/threadedComments/threadedComment6.xml><?xml version="1.0" encoding="utf-8"?>
<ThreadedComments xmlns="http://schemas.microsoft.com/office/spreadsheetml/2018/threadedcomments" xmlns:x="http://schemas.openxmlformats.org/spreadsheetml/2006/main">
  <threadedComment ref="L16" personId="{75E6C908-C7B3-4077-ACCD-EC679AA2E217}" id="{9CF5D524-AF45-40FC-AE2B-8BD20601B3F6}">
    <text>Funding scope 'None' in source - confirm.</text>
  </threadedComment>
  <threadedComment ref="I27" personId="{75E6C908-C7B3-4077-ACCD-EC679AA2E217}" id="{FAE6C923-7874-474F-A04A-2486392012C2}">
    <text>Households interviewed (monitoring/assessment), not households assisted - kept out of HH reach.</text>
  </threadedComment>
  <threadedComment ref="L27" personId="{75E6C908-C7B3-4077-ACCD-EC679AA2E217}" id="{47787D6A-EFD4-4E6D-9C68-530E66CC5DB4}">
    <text>Funding scope 'None' in source - confirm.</text>
  </threadedComment>
  <threadedComment ref="I65" personId="{75E6C908-C7B3-4077-ACCD-EC679AA2E217}" id="{F135DB37-C74D-47BA-98F8-307666DA51B7}">
    <text>Households interviewed (monitoring/assessment), not households assisted - kept out of HH reach.</text>
  </threadedComment>
  <threadedComment ref="F66" personId="{75E6C908-C7B3-4077-ACCD-EC679AA2E217}" id="{86165561-7EAD-4CA5-B86D-8285DEDC91F8}">
    <text>Activity start date not reported in source.</text>
  </threadedComment>
  <threadedComment ref="H66" personId="{75E6C908-C7B3-4077-ACCD-EC679AA2E217}" id="{257E3A96-B2AF-4A1B-8671-578987AF62B4}">
    <text>Quantity not reported in source (Data Check: Confirm activity dates; Output metric or quantity missing; Confirm funding scope; ). Reported people total: 3981.</text>
  </threadedComment>
  <threadedComment ref="K66" personId="{75E6C908-C7B3-4077-ACCD-EC679AA2E217}" id="{C3C386E4-2D88-4CBF-A958-250A0469EF2E}">
    <text>No activity dates in source - status unknown.</text>
  </threadedComment>
  <threadedComment ref="L66" personId="{75E6C908-C7B3-4077-ACCD-EC679AA2E217}" id="{2AC666EB-91F2-47F7-B091-79BA0ABB6856}">
    <text>Funding scope 'Unconfirmed' in source - confirm.</text>
  </threadedComment>
  <threadedComment ref="F67" personId="{75E6C908-C7B3-4077-ACCD-EC679AA2E217}" id="{BF878834-A404-4A81-AF30-EA406CA3392E}">
    <text>Activity start date not reported in source.</text>
  </threadedComment>
  <threadedComment ref="H67" personId="{75E6C908-C7B3-4077-ACCD-EC679AA2E217}" id="{D971FD59-153B-4DC0-A986-1DC61C60B27A}">
    <text>Quantity not reported in source (Data Check: Confirm activity dates; Output metric or quantity missing; Confirm people counting basis; Confirm funding scope; ). Reported people total: 1442.</text>
  </threadedComment>
  <threadedComment ref="K67" personId="{75E6C908-C7B3-4077-ACCD-EC679AA2E217}" id="{25FC4955-6CBB-4FB0-82FE-304452343828}">
    <text>No activity dates in source - status unknown.</text>
  </threadedComment>
  <threadedComment ref="L67" personId="{75E6C908-C7B3-4077-ACCD-EC679AA2E217}" id="{005921CD-B97E-4E70-9FB0-143BF091C910}">
    <text>Funding scope 'Unconfirmed' in source - confirm.</text>
  </threadedComment>
  <threadedComment ref="F68" personId="{75E6C908-C7B3-4077-ACCD-EC679AA2E217}" id="{6478B98F-1C26-4E27-ABB8-17A93708D8A7}">
    <text>Activity start date not reported in source.</text>
  </threadedComment>
  <threadedComment ref="K68" personId="{75E6C908-C7B3-4077-ACCD-EC679AA2E217}" id="{5EF8E9AB-75AD-45E7-AF8F-250F34A19F20}">
    <text>No activity dates in source - status unknown.</text>
  </threadedComment>
  <threadedComment ref="H71" personId="{75E6C908-C7B3-4077-ACCD-EC679AA2E217}" id="{1454F10F-A512-43E9-BC9C-094A91F9D2F5}">
    <text>Quantity not reported in source (Data Check: Output metric or quantity missing; ). Reported people total: None.</text>
  </threadedComment>
  <threadedComment ref="H72" personId="{75E6C908-C7B3-4077-ACCD-EC679AA2E217}" id="{45CC1771-60F3-4E0E-85BC-97BDE9F32E21}">
    <text>Quantity not reported in source (Data Check: Output metric or quantity missing; ). Reported people total: None.</text>
  </threadedComment>
  <threadedComment ref="A73" personId="{75E6C908-C7B3-4077-ACCD-EC679AA2E217}" id="{D1EB370F-5D56-4E30-B37A-19E6AFE13A7F}">
    <text>From Extra Outputs for ACF-2026-0008 ('Households interviewed'). Not households assisted - confirm whether these are the assisted households.</text>
  </threadedComment>
  <threadedComment ref="H74" personId="{75E6C908-C7B3-4077-ACCD-EC679AA2E217}" id="{65A375FB-96CE-4AF0-9168-1C589675591F}">
    <text>Quantity not reported in source (Data Check: Output metric or quantity missing; ). Reported people total: None.</text>
  </threadedComment>
  <threadedComment ref="A75" personId="{75E6C908-C7B3-4077-ACCD-EC679AA2E217}" id="{2E5074FB-94D3-4009-9D96-D8E25813D52D}">
    <text>From Extra Outputs for ACF-2026-0009 ('Households interviewed'). Not households assisted - confirm whether these are the assisted households.</text>
  </threadedComment>
  <threadedComment ref="H76" personId="{75E6C908-C7B3-4077-ACCD-EC679AA2E217}" id="{F0EDA2C6-F2DC-4CBA-B406-6C3435D148E5}">
    <text>Quantity not reported in source (Data Check: Output metric or quantity missing; ). Reported people total: None.</text>
  </threadedComment>
  <threadedComment ref="A77" personId="{75E6C908-C7B3-4077-ACCD-EC679AA2E217}" id="{E79DB557-AA12-4359-B899-891F1558CD02}">
    <text>From Extra Outputs for ACF-2026-0010 ('Households interviewed'). Not households assisted - confirm whether these are the assisted households.</text>
  </threadedComment>
  <threadedComment ref="A79" personId="{75E6C908-C7B3-4077-ACCD-EC679AA2E217}" id="{2B1BD22B-7777-4F37-95D6-0D89C95562E0}">
    <text>From Extra Outputs for SI-2026-0001 ('Households interviewed'). Not households assisted - confirm whether these are the assisted households.</text>
  </threadedComment>
  <threadedComment ref="I80" personId="{75E6C908-C7B3-4077-ACCD-EC679AA2E217}" id="{83341927-5BB5-4221-A399-2B5DC9B6F86D}">
    <text>Source unit is 'Water delivered' with quantity 1 (one borehole rehabilitated). Unit should be e.g. facilities or litres - confirm.</text>
  </threadedComment>
  <threadedComment ref="I81" personId="{75E6C908-C7B3-4077-ACCD-EC679AA2E217}" id="{F4654725-3A4C-47CE-8690-7FE34DA32304}">
    <text>Source unit is 'Water delivered' with quantity 1 (one borehole rehabilitated). Unit should be e.g. facilities or litres - confirm.</text>
  </threadedComment>
  <threadedComment ref="I82" personId="{75E6C908-C7B3-4077-ACCD-EC679AA2E217}" id="{13420A19-E1E9-48AF-BBEE-1C0D29382C8B}">
    <text>Source unit is 'Water delivered' with quantity 1 (one borehole rehabilitated). Unit should be e.g. facilities or litres - confirm.</text>
  </threadedComment>
</ThreadedComments>
</file>

<file path=xl/threadedComments/threadedComment7.xml><?xml version="1.0" encoding="utf-8"?>
<ThreadedComments xmlns="http://schemas.microsoft.com/office/spreadsheetml/2018/threadedcomments" xmlns:x="http://schemas.openxmlformats.org/spreadsheetml/2006/main">
  <threadedComment ref="A2" personId="{75E6C908-C7B3-4077-ACCD-EC679AA2E217}" id="{BF775FBE-F346-490C-BDDB-1111C29FBA3A}">
    <text>Still demo. Switch to operational and update source_updated/source_version once all demo rows are replaced.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5.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6.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8.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0.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showGridLines="0" tabSelected="1" topLeftCell="A12" workbookViewId="0">
      <selection activeCell="E8" sqref="E8"/>
    </sheetView>
  </sheetViews>
  <sheetFormatPr defaultRowHeight="14"/>
  <cols>
    <col min="1" max="1" width="27.33203125" bestFit="1" customWidth="1"/>
    <col min="2" max="2" width="110" customWidth="1"/>
  </cols>
  <sheetData>
    <row r="1" spans="1:2" ht="25" customHeight="1">
      <c r="A1" s="2" t="s">
        <v>86</v>
      </c>
      <c r="B1" s="2" t="s">
        <v>87</v>
      </c>
    </row>
    <row r="2" spans="1:2" ht="42" customHeight="1">
      <c r="A2" s="1" t="s">
        <v>88</v>
      </c>
      <c r="B2" s="3" t="s">
        <v>89</v>
      </c>
    </row>
    <row r="3" spans="1:2" ht="42" customHeight="1">
      <c r="A3" s="1" t="s">
        <v>90</v>
      </c>
      <c r="B3" s="3" t="s">
        <v>91</v>
      </c>
    </row>
    <row r="4" spans="1:2" ht="42" customHeight="1">
      <c r="A4" s="1" t="s">
        <v>92</v>
      </c>
      <c r="B4" s="3" t="s">
        <v>93</v>
      </c>
    </row>
    <row r="5" spans="1:2" ht="42" customHeight="1">
      <c r="A5" s="1" t="s">
        <v>94</v>
      </c>
      <c r="B5" s="3" t="s">
        <v>95</v>
      </c>
    </row>
    <row r="6" spans="1:2" ht="42" customHeight="1">
      <c r="A6" s="1" t="s">
        <v>96</v>
      </c>
      <c r="B6" s="3" t="s">
        <v>97</v>
      </c>
    </row>
    <row r="7" spans="1:2" ht="42" customHeight="1">
      <c r="A7" s="1" t="s">
        <v>98</v>
      </c>
      <c r="B7" s="3" t="s">
        <v>99</v>
      </c>
    </row>
    <row r="8" spans="1:2" ht="42" customHeight="1">
      <c r="A8" s="1" t="s">
        <v>100</v>
      </c>
      <c r="B8" s="3" t="s">
        <v>101</v>
      </c>
    </row>
    <row r="9" spans="1:2" ht="42" customHeight="1">
      <c r="A9" s="1" t="s">
        <v>102</v>
      </c>
      <c r="B9" s="3" t="s">
        <v>103</v>
      </c>
    </row>
    <row r="10" spans="1:2" ht="42" customHeight="1">
      <c r="A10" s="1" t="s">
        <v>104</v>
      </c>
      <c r="B10" s="3" t="s">
        <v>105</v>
      </c>
    </row>
    <row r="11" spans="1:2" ht="42" customHeight="1">
      <c r="A11" s="1" t="s">
        <v>106</v>
      </c>
      <c r="B11" s="3" t="s">
        <v>107</v>
      </c>
    </row>
    <row r="12" spans="1:2" ht="42" customHeight="1">
      <c r="A12" s="1" t="s">
        <v>108</v>
      </c>
      <c r="B12" s="3" t="s">
        <v>109</v>
      </c>
    </row>
    <row r="13" spans="1:2" ht="42" customHeight="1">
      <c r="A13" s="1" t="s">
        <v>110</v>
      </c>
      <c r="B13" s="3" t="s">
        <v>111</v>
      </c>
    </row>
    <row r="14" spans="1:2" ht="42" customHeight="1">
      <c r="A14" s="1" t="s">
        <v>112</v>
      </c>
      <c r="B14" s="3" t="s">
        <v>113</v>
      </c>
    </row>
    <row r="15" spans="1:2" ht="42" customHeight="1">
      <c r="A15" s="1" t="s">
        <v>114</v>
      </c>
      <c r="B15" s="3" t="s">
        <v>115</v>
      </c>
    </row>
    <row r="16" spans="1:2" ht="42" customHeight="1">
      <c r="A16" s="1" t="s">
        <v>116</v>
      </c>
      <c r="B16" s="3" t="s">
        <v>117</v>
      </c>
    </row>
    <row r="17" spans="1:2" ht="25" customHeight="1">
      <c r="A17" s="4" t="s">
        <v>118</v>
      </c>
      <c r="B17" s="5" t="s">
        <v>119</v>
      </c>
    </row>
    <row r="18" spans="1:2" ht="25" customHeight="1">
      <c r="A18" s="1" t="s">
        <v>120</v>
      </c>
      <c r="B18" s="3" t="s">
        <v>121</v>
      </c>
    </row>
    <row r="19" spans="1:2" ht="25" customHeight="1">
      <c r="A19" s="1" t="s">
        <v>122</v>
      </c>
      <c r="B19" s="3" t="s">
        <v>123</v>
      </c>
    </row>
    <row r="20" spans="1:2" ht="25" customHeight="1">
      <c r="A20" s="1" t="s">
        <v>124</v>
      </c>
      <c r="B20" s="3" t="s">
        <v>125</v>
      </c>
    </row>
    <row r="21" spans="1:2" ht="25" customHeight="1">
      <c r="A21" s="1" t="s">
        <v>126</v>
      </c>
      <c r="B21" s="3" t="s">
        <v>127</v>
      </c>
    </row>
    <row r="22" spans="1:2" ht="25" customHeight="1">
      <c r="A22" s="1" t="s">
        <v>128</v>
      </c>
      <c r="B22" s="3" t="s">
        <v>129</v>
      </c>
    </row>
    <row r="23" spans="1:2" ht="25" customHeight="1">
      <c r="A23" s="1" t="s">
        <v>130</v>
      </c>
      <c r="B23" s="3" t="s">
        <v>131</v>
      </c>
    </row>
    <row r="24" spans="1:2" ht="25" customHeight="1">
      <c r="A24" s="1" t="s">
        <v>132</v>
      </c>
      <c r="B24" s="3" t="s">
        <v>133</v>
      </c>
    </row>
    <row r="25" spans="1:2" ht="25" customHeight="1">
      <c r="A25" s="1" t="s">
        <v>134</v>
      </c>
      <c r="B25" s="3" t="s">
        <v>135</v>
      </c>
    </row>
    <row r="26" spans="1:2" ht="25" customHeight="1">
      <c r="A26" s="1" t="s">
        <v>136</v>
      </c>
      <c r="B26" s="3" t="s">
        <v>137</v>
      </c>
    </row>
    <row r="27" spans="1:2" ht="25" customHeight="1">
      <c r="A27" s="1" t="s">
        <v>138</v>
      </c>
      <c r="B27" s="3" t="s">
        <v>139</v>
      </c>
    </row>
    <row r="28" spans="1:2" ht="25" customHeight="1">
      <c r="A28" s="1"/>
      <c r="B28" s="1"/>
    </row>
    <row r="29" spans="1:2" ht="25" customHeight="1">
      <c r="A29" s="1"/>
      <c r="B29" s="1"/>
    </row>
    <row r="30" spans="1:2" ht="25" customHeight="1">
      <c r="A30" s="1"/>
      <c r="B30" s="1"/>
    </row>
    <row r="31" spans="1:2" ht="25" customHeight="1">
      <c r="A31" s="1"/>
      <c r="B31" s="1"/>
    </row>
    <row r="32" spans="1:2" ht="25" customHeight="1">
      <c r="A32" s="1"/>
      <c r="B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showGridLines="0" workbookViewId="0">
      <pane xSplit="1" ySplit="1" topLeftCell="B2" activePane="bottomRight" state="frozen"/>
      <selection pane="topRight"/>
      <selection pane="bottomLeft"/>
      <selection pane="bottomRight" activeCell="A2" sqref="A2"/>
    </sheetView>
  </sheetViews>
  <sheetFormatPr defaultRowHeight="14"/>
  <cols>
    <col min="1" max="4" width="18" customWidth="1"/>
    <col min="5" max="5" width="12.08203125" bestFit="1" customWidth="1"/>
    <col min="6" max="6" width="10" bestFit="1" customWidth="1"/>
    <col min="7" max="7" width="13" bestFit="1" customWidth="1"/>
  </cols>
  <sheetData>
    <row r="1" spans="1:7" ht="40" customHeight="1">
      <c r="A1" s="5" t="s">
        <v>140</v>
      </c>
      <c r="B1" s="5" t="s">
        <v>141</v>
      </c>
      <c r="C1" s="5" t="s">
        <v>142</v>
      </c>
      <c r="D1" s="5" t="s">
        <v>143</v>
      </c>
      <c r="E1" s="7" t="s">
        <v>144</v>
      </c>
      <c r="F1" s="7" t="s">
        <v>145</v>
      </c>
      <c r="G1" s="5" t="s">
        <v>146</v>
      </c>
    </row>
    <row r="2" spans="1:7" ht="25" customHeight="1">
      <c r="A2" s="18" t="s">
        <v>147</v>
      </c>
      <c r="B2" s="1" t="s">
        <v>148</v>
      </c>
      <c r="C2" s="1" t="s">
        <v>149</v>
      </c>
      <c r="D2" s="1" t="s">
        <v>150</v>
      </c>
      <c r="E2" s="6">
        <v>46023</v>
      </c>
      <c r="F2" s="6"/>
      <c r="G2" s="1" t="s">
        <v>151</v>
      </c>
    </row>
    <row r="3" spans="1:7" ht="25" customHeight="1">
      <c r="A3" s="18" t="s">
        <v>152</v>
      </c>
      <c r="B3" s="1" t="s">
        <v>153</v>
      </c>
      <c r="C3" s="1" t="s">
        <v>149</v>
      </c>
      <c r="D3" s="1" t="s">
        <v>154</v>
      </c>
      <c r="E3" s="6">
        <v>46023</v>
      </c>
      <c r="F3" s="6"/>
      <c r="G3" s="1" t="s">
        <v>151</v>
      </c>
    </row>
    <row r="4" spans="1:7" ht="25" customHeight="1">
      <c r="A4" s="18" t="s">
        <v>155</v>
      </c>
      <c r="B4" s="1" t="s">
        <v>153</v>
      </c>
      <c r="C4" s="1" t="s">
        <v>156</v>
      </c>
      <c r="D4" s="1" t="s">
        <v>150</v>
      </c>
      <c r="E4" s="6">
        <v>46023</v>
      </c>
      <c r="F4" s="6"/>
      <c r="G4" s="1" t="s">
        <v>151</v>
      </c>
    </row>
    <row r="5" spans="1:7" ht="25" customHeight="1">
      <c r="A5" s="18" t="s">
        <v>157</v>
      </c>
      <c r="B5" s="1" t="s">
        <v>158</v>
      </c>
      <c r="C5" s="1" t="s">
        <v>159</v>
      </c>
      <c r="D5" s="1" t="s">
        <v>150</v>
      </c>
      <c r="E5" s="6">
        <v>46023</v>
      </c>
      <c r="F5" s="6"/>
      <c r="G5" s="1" t="s">
        <v>151</v>
      </c>
    </row>
    <row r="6" spans="1:7" ht="25" customHeight="1">
      <c r="A6" s="18" t="s">
        <v>160</v>
      </c>
      <c r="B6" s="1" t="s">
        <v>161</v>
      </c>
      <c r="C6" s="1" t="s">
        <v>156</v>
      </c>
      <c r="D6" s="1" t="s">
        <v>154</v>
      </c>
      <c r="E6" s="6">
        <v>46023</v>
      </c>
      <c r="F6" s="6"/>
      <c r="G6" s="1" t="s">
        <v>151</v>
      </c>
    </row>
    <row r="7" spans="1:7" ht="25" customHeight="1">
      <c r="A7" s="18" t="s">
        <v>162</v>
      </c>
      <c r="B7" s="1" t="s">
        <v>163</v>
      </c>
      <c r="C7" s="1" t="s">
        <v>149</v>
      </c>
      <c r="D7" s="1" t="s">
        <v>150</v>
      </c>
      <c r="E7" s="6">
        <v>46023</v>
      </c>
      <c r="F7" s="6"/>
      <c r="G7" s="1" t="s">
        <v>151</v>
      </c>
    </row>
    <row r="8" spans="1:7" ht="25" customHeight="1">
      <c r="A8" s="18" t="s">
        <v>164</v>
      </c>
      <c r="B8" s="1" t="s">
        <v>165</v>
      </c>
      <c r="C8" s="1" t="s">
        <v>166</v>
      </c>
      <c r="D8" s="1" t="s">
        <v>166</v>
      </c>
      <c r="E8" s="6">
        <v>46023</v>
      </c>
      <c r="F8" s="6"/>
      <c r="G8" s="1" t="s">
        <v>151</v>
      </c>
    </row>
    <row r="9" spans="1:7" ht="25" customHeight="1">
      <c r="A9" s="18" t="s">
        <v>167</v>
      </c>
      <c r="B9" s="1" t="s">
        <v>168</v>
      </c>
      <c r="C9" s="1" t="s">
        <v>159</v>
      </c>
      <c r="D9" s="1" t="s">
        <v>150</v>
      </c>
      <c r="E9" s="6">
        <v>46023</v>
      </c>
      <c r="F9" s="6"/>
      <c r="G9" s="1" t="s">
        <v>151</v>
      </c>
    </row>
    <row r="10" spans="1:7">
      <c r="A10" s="19" t="s">
        <v>169</v>
      </c>
      <c r="B10" t="s">
        <v>168</v>
      </c>
      <c r="C10" t="s">
        <v>170</v>
      </c>
      <c r="D10" t="s">
        <v>154</v>
      </c>
      <c r="E10" s="10">
        <v>46147</v>
      </c>
      <c r="G10" s="11" t="s">
        <v>171</v>
      </c>
    </row>
  </sheetData>
  <dataValidations count="1">
    <dataValidation type="list" sqref="D2:D1000" xr:uid="{00000000-0002-0000-0100-000000000000}">
      <formula1>"Primary,Secondary,Unknown"</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
  <sheetViews>
    <sheetView showGridLines="0" workbookViewId="0">
      <pane xSplit="1" ySplit="1" topLeftCell="B16" activePane="bottomRight" state="frozen"/>
      <selection pane="topRight"/>
      <selection pane="bottomLeft"/>
      <selection pane="bottomRight" activeCell="B20" sqref="B20"/>
    </sheetView>
  </sheetViews>
  <sheetFormatPr defaultRowHeight="14"/>
  <cols>
    <col min="1" max="1" width="39.9140625" bestFit="1" customWidth="1"/>
    <col min="2" max="2" width="9.25" bestFit="1" customWidth="1"/>
    <col min="3" max="8" width="12" customWidth="1"/>
    <col min="9" max="9" width="22" customWidth="1"/>
    <col min="10" max="12" width="18" customWidth="1"/>
    <col min="13" max="13" width="20" customWidth="1"/>
    <col min="14" max="14" width="70" customWidth="1"/>
    <col min="15" max="15" width="18" customWidth="1"/>
    <col min="16" max="16" width="70" customWidth="1"/>
  </cols>
  <sheetData>
    <row r="1" spans="1:16" ht="40" customHeight="1">
      <c r="A1" s="5" t="s">
        <v>172</v>
      </c>
      <c r="B1" s="7" t="s">
        <v>173</v>
      </c>
      <c r="C1" s="5" t="s">
        <v>174</v>
      </c>
      <c r="D1" s="5" t="s">
        <v>175</v>
      </c>
      <c r="E1" s="5" t="s">
        <v>176</v>
      </c>
      <c r="F1" s="8" t="s">
        <v>177</v>
      </c>
      <c r="G1" s="8" t="s">
        <v>178</v>
      </c>
      <c r="H1" s="5" t="s">
        <v>179</v>
      </c>
      <c r="I1" s="7" t="s">
        <v>180</v>
      </c>
      <c r="J1" s="8" t="s">
        <v>181</v>
      </c>
      <c r="K1" s="8" t="s">
        <v>182</v>
      </c>
      <c r="L1" s="5" t="s">
        <v>183</v>
      </c>
      <c r="M1" s="7" t="s">
        <v>184</v>
      </c>
      <c r="N1" s="5" t="s">
        <v>185</v>
      </c>
      <c r="O1" s="5" t="s">
        <v>186</v>
      </c>
      <c r="P1" s="5" t="s">
        <v>187</v>
      </c>
    </row>
    <row r="2" spans="1:16" ht="62" customHeight="1">
      <c r="A2" s="12" t="s">
        <v>188</v>
      </c>
      <c r="B2" s="16">
        <v>46130</v>
      </c>
      <c r="C2" s="14" t="s">
        <v>189</v>
      </c>
      <c r="D2" s="14" t="s">
        <v>190</v>
      </c>
      <c r="E2" s="12" t="s">
        <v>191</v>
      </c>
      <c r="F2" s="12">
        <v>177</v>
      </c>
      <c r="G2" s="12">
        <v>573</v>
      </c>
      <c r="H2" s="12" t="s">
        <v>192</v>
      </c>
      <c r="I2" s="16">
        <v>46130</v>
      </c>
      <c r="J2" s="12">
        <v>177</v>
      </c>
      <c r="K2" s="12">
        <v>573</v>
      </c>
      <c r="L2" s="12" t="s">
        <v>193</v>
      </c>
      <c r="M2" s="16">
        <v>46162</v>
      </c>
      <c r="N2" s="15" t="s">
        <v>194</v>
      </c>
      <c r="O2" s="12"/>
      <c r="P2" s="12" t="s">
        <v>195</v>
      </c>
    </row>
    <row r="3" spans="1:16" ht="62" customHeight="1">
      <c r="A3" s="12" t="s">
        <v>196</v>
      </c>
      <c r="B3" s="16">
        <v>46134</v>
      </c>
      <c r="C3" s="14" t="s">
        <v>189</v>
      </c>
      <c r="D3" s="12" t="s">
        <v>197</v>
      </c>
      <c r="E3" s="12" t="s">
        <v>191</v>
      </c>
      <c r="F3" s="12">
        <v>190</v>
      </c>
      <c r="G3" s="12"/>
      <c r="H3" s="12" t="s">
        <v>192</v>
      </c>
      <c r="I3" s="16">
        <v>46134</v>
      </c>
      <c r="J3" s="12">
        <v>227</v>
      </c>
      <c r="K3" s="12"/>
      <c r="L3" s="12" t="s">
        <v>193</v>
      </c>
      <c r="M3" s="16">
        <v>46160</v>
      </c>
      <c r="N3" s="15" t="s">
        <v>198</v>
      </c>
      <c r="O3" s="12"/>
      <c r="P3" s="12" t="s">
        <v>195</v>
      </c>
    </row>
    <row r="4" spans="1:16" ht="62" customHeight="1">
      <c r="A4" s="12" t="s">
        <v>199</v>
      </c>
      <c r="B4" s="16">
        <v>46140</v>
      </c>
      <c r="C4" s="14" t="s">
        <v>189</v>
      </c>
      <c r="D4" s="12" t="s">
        <v>200</v>
      </c>
      <c r="E4" s="12" t="s">
        <v>191</v>
      </c>
      <c r="F4" s="12">
        <v>80</v>
      </c>
      <c r="G4" s="12"/>
      <c r="H4" s="12" t="s">
        <v>192</v>
      </c>
      <c r="I4" s="16">
        <v>46140</v>
      </c>
      <c r="J4" s="12"/>
      <c r="K4" s="12"/>
      <c r="L4" s="14"/>
      <c r="M4" s="16"/>
      <c r="N4" s="15" t="s">
        <v>201</v>
      </c>
      <c r="O4" s="12" t="s">
        <v>196</v>
      </c>
      <c r="P4" s="12" t="s">
        <v>202</v>
      </c>
    </row>
    <row r="5" spans="1:16" ht="50">
      <c r="A5" s="12" t="s">
        <v>203</v>
      </c>
      <c r="B5" s="16">
        <v>46146</v>
      </c>
      <c r="C5" s="14" t="s">
        <v>189</v>
      </c>
      <c r="D5" s="12" t="s">
        <v>204</v>
      </c>
      <c r="E5" s="12" t="s">
        <v>191</v>
      </c>
      <c r="F5" s="12">
        <v>1573</v>
      </c>
      <c r="G5" s="12">
        <v>3950</v>
      </c>
      <c r="H5" s="12" t="s">
        <v>205</v>
      </c>
      <c r="I5" s="16">
        <v>46146</v>
      </c>
      <c r="J5" s="12">
        <v>1573</v>
      </c>
      <c r="K5" s="12">
        <v>3950</v>
      </c>
      <c r="L5" s="12" t="s">
        <v>205</v>
      </c>
      <c r="M5" s="16">
        <v>46162</v>
      </c>
      <c r="N5" s="15" t="s">
        <v>206</v>
      </c>
      <c r="O5" s="12"/>
      <c r="P5" s="12" t="s">
        <v>195</v>
      </c>
    </row>
    <row r="6" spans="1:16" ht="50">
      <c r="A6" s="12" t="s">
        <v>207</v>
      </c>
      <c r="B6" s="16">
        <v>46148</v>
      </c>
      <c r="C6" s="14" t="s">
        <v>189</v>
      </c>
      <c r="D6" s="12" t="s">
        <v>197</v>
      </c>
      <c r="E6" s="12" t="s">
        <v>191</v>
      </c>
      <c r="F6" s="12">
        <v>500</v>
      </c>
      <c r="G6" s="12"/>
      <c r="H6" s="12" t="s">
        <v>193</v>
      </c>
      <c r="I6" s="16">
        <v>46148</v>
      </c>
      <c r="J6" s="12">
        <v>626</v>
      </c>
      <c r="K6" s="12"/>
      <c r="L6" s="12" t="s">
        <v>193</v>
      </c>
      <c r="M6" s="16">
        <v>46161</v>
      </c>
      <c r="N6" s="15" t="s">
        <v>208</v>
      </c>
      <c r="O6" s="12" t="s">
        <v>203</v>
      </c>
      <c r="P6" s="12" t="s">
        <v>202</v>
      </c>
    </row>
    <row r="7" spans="1:16" ht="62.5">
      <c r="A7" s="12" t="s">
        <v>209</v>
      </c>
      <c r="B7" s="16">
        <v>46161</v>
      </c>
      <c r="C7" s="14" t="s">
        <v>189</v>
      </c>
      <c r="D7" s="12" t="s">
        <v>204</v>
      </c>
      <c r="E7" s="12" t="s">
        <v>191</v>
      </c>
      <c r="F7" s="12">
        <v>889</v>
      </c>
      <c r="G7" s="12"/>
      <c r="H7" s="12" t="s">
        <v>193</v>
      </c>
      <c r="I7" s="16">
        <v>46161</v>
      </c>
      <c r="J7" s="12">
        <v>889</v>
      </c>
      <c r="K7" s="12"/>
      <c r="L7" s="12" t="s">
        <v>193</v>
      </c>
      <c r="M7" s="16">
        <v>46174</v>
      </c>
      <c r="N7" s="15" t="s">
        <v>210</v>
      </c>
      <c r="O7" s="12" t="s">
        <v>203</v>
      </c>
      <c r="P7" s="12" t="s">
        <v>202</v>
      </c>
    </row>
    <row r="8" spans="1:16" ht="25">
      <c r="A8" s="12" t="s">
        <v>211</v>
      </c>
      <c r="B8" s="16">
        <v>46168</v>
      </c>
      <c r="C8" s="14" t="s">
        <v>189</v>
      </c>
      <c r="D8" s="12" t="s">
        <v>200</v>
      </c>
      <c r="E8" s="12" t="s">
        <v>191</v>
      </c>
      <c r="F8" s="12">
        <v>300</v>
      </c>
      <c r="G8" s="12"/>
      <c r="H8" s="12" t="s">
        <v>192</v>
      </c>
      <c r="I8" s="16">
        <v>46168</v>
      </c>
      <c r="J8" s="12"/>
      <c r="K8" s="12"/>
      <c r="L8" s="14"/>
      <c r="M8" s="16"/>
      <c r="N8" s="15" t="s">
        <v>212</v>
      </c>
      <c r="O8" s="12" t="s">
        <v>199</v>
      </c>
      <c r="P8" s="12" t="s">
        <v>202</v>
      </c>
    </row>
    <row r="9" spans="1:16" ht="100">
      <c r="A9" s="12" t="s">
        <v>213</v>
      </c>
      <c r="B9" s="16">
        <v>46168</v>
      </c>
      <c r="C9" s="14" t="s">
        <v>189</v>
      </c>
      <c r="D9" s="12" t="s">
        <v>200</v>
      </c>
      <c r="E9" s="12" t="s">
        <v>191</v>
      </c>
      <c r="F9" s="12">
        <v>500</v>
      </c>
      <c r="G9" s="12"/>
      <c r="H9" s="12" t="s">
        <v>193</v>
      </c>
      <c r="I9" s="16">
        <v>46168</v>
      </c>
      <c r="J9" s="12">
        <v>500</v>
      </c>
      <c r="K9" s="12"/>
      <c r="L9" s="12" t="s">
        <v>205</v>
      </c>
      <c r="M9" s="16">
        <v>46190</v>
      </c>
      <c r="N9" s="15" t="s">
        <v>214</v>
      </c>
      <c r="O9" s="12"/>
      <c r="P9" s="12" t="s">
        <v>195</v>
      </c>
    </row>
    <row r="10" spans="1:16" ht="62.5">
      <c r="A10" s="12" t="s">
        <v>215</v>
      </c>
      <c r="B10" s="16">
        <v>46181</v>
      </c>
      <c r="C10" s="14" t="s">
        <v>189</v>
      </c>
      <c r="D10" s="12" t="s">
        <v>204</v>
      </c>
      <c r="E10" s="12" t="s">
        <v>191</v>
      </c>
      <c r="F10" s="12">
        <v>735</v>
      </c>
      <c r="G10" s="12"/>
      <c r="H10" s="12" t="s">
        <v>192</v>
      </c>
      <c r="I10" s="16">
        <v>46181</v>
      </c>
      <c r="J10" s="12">
        <v>735</v>
      </c>
      <c r="K10" s="12"/>
      <c r="L10" s="12" t="s">
        <v>193</v>
      </c>
      <c r="M10" s="16">
        <v>46192</v>
      </c>
      <c r="N10" s="15" t="s">
        <v>216</v>
      </c>
      <c r="O10" s="12" t="s">
        <v>217</v>
      </c>
      <c r="P10" s="12" t="s">
        <v>218</v>
      </c>
    </row>
    <row r="11" spans="1:16" ht="62.5">
      <c r="A11" s="12" t="s">
        <v>219</v>
      </c>
      <c r="B11" s="16">
        <v>46190</v>
      </c>
      <c r="C11" s="14" t="s">
        <v>189</v>
      </c>
      <c r="D11" s="12" t="s">
        <v>197</v>
      </c>
      <c r="E11" s="12" t="s">
        <v>191</v>
      </c>
      <c r="F11" s="12">
        <v>650</v>
      </c>
      <c r="G11" s="12"/>
      <c r="H11" s="12" t="s">
        <v>193</v>
      </c>
      <c r="I11" s="16">
        <v>46190</v>
      </c>
      <c r="J11" s="12">
        <v>650</v>
      </c>
      <c r="K11" s="12"/>
      <c r="L11" s="12" t="s">
        <v>193</v>
      </c>
      <c r="M11" s="16">
        <v>46204</v>
      </c>
      <c r="N11" s="15" t="s">
        <v>220</v>
      </c>
      <c r="O11" s="12" t="s">
        <v>207</v>
      </c>
      <c r="P11" s="12" t="s">
        <v>218</v>
      </c>
    </row>
    <row r="12" spans="1:16" ht="62.5">
      <c r="A12" s="12" t="s">
        <v>221</v>
      </c>
      <c r="B12" s="16">
        <v>46232</v>
      </c>
      <c r="C12" s="14" t="s">
        <v>189</v>
      </c>
      <c r="D12" s="12" t="s">
        <v>197</v>
      </c>
      <c r="E12" s="12" t="s">
        <v>191</v>
      </c>
      <c r="F12" s="12">
        <v>884</v>
      </c>
      <c r="G12" s="12"/>
      <c r="H12" s="12" t="s">
        <v>193</v>
      </c>
      <c r="I12" s="16">
        <v>46232</v>
      </c>
      <c r="J12" s="12">
        <v>884</v>
      </c>
      <c r="K12" s="12"/>
      <c r="L12" s="12" t="s">
        <v>193</v>
      </c>
      <c r="M12" s="16">
        <v>46247</v>
      </c>
      <c r="N12" s="15" t="s">
        <v>222</v>
      </c>
      <c r="O12" s="12"/>
      <c r="P12" s="12" t="s">
        <v>195</v>
      </c>
    </row>
    <row r="13" spans="1:16" ht="25">
      <c r="A13" s="12" t="s">
        <v>223</v>
      </c>
      <c r="B13" s="16">
        <v>46234</v>
      </c>
      <c r="C13" s="14" t="s">
        <v>189</v>
      </c>
      <c r="D13" s="12" t="s">
        <v>204</v>
      </c>
      <c r="E13" s="12" t="s">
        <v>191</v>
      </c>
      <c r="F13" s="12">
        <v>265</v>
      </c>
      <c r="G13" s="12"/>
      <c r="H13" s="12" t="s">
        <v>192</v>
      </c>
      <c r="I13" s="16">
        <v>46234</v>
      </c>
      <c r="J13" s="12">
        <v>260</v>
      </c>
      <c r="K13" s="12"/>
      <c r="L13" s="14" t="s">
        <v>193</v>
      </c>
      <c r="M13" s="16">
        <v>46247</v>
      </c>
      <c r="N13" s="17" t="s">
        <v>224</v>
      </c>
      <c r="O13" s="12" t="s">
        <v>203</v>
      </c>
      <c r="P13" s="12" t="s">
        <v>202</v>
      </c>
    </row>
    <row r="14" spans="1:16" ht="37.5">
      <c r="A14" s="12" t="s">
        <v>225</v>
      </c>
      <c r="B14" s="16">
        <v>46234</v>
      </c>
      <c r="C14" s="14" t="s">
        <v>189</v>
      </c>
      <c r="D14" s="12" t="s">
        <v>204</v>
      </c>
      <c r="E14" s="12" t="s">
        <v>226</v>
      </c>
      <c r="F14" s="12">
        <v>3495</v>
      </c>
      <c r="G14" s="12"/>
      <c r="H14" s="12" t="s">
        <v>205</v>
      </c>
      <c r="I14" s="16">
        <v>46234</v>
      </c>
      <c r="J14" s="12">
        <v>3495</v>
      </c>
      <c r="K14" s="12"/>
      <c r="L14" s="14" t="s">
        <v>205</v>
      </c>
      <c r="M14" s="16">
        <v>46253</v>
      </c>
      <c r="N14" s="17" t="s">
        <v>227</v>
      </c>
      <c r="O14" s="12" t="s">
        <v>228</v>
      </c>
      <c r="P14" s="12" t="s">
        <v>218</v>
      </c>
    </row>
    <row r="15" spans="1:16" ht="62.5">
      <c r="A15" s="12" t="s">
        <v>229</v>
      </c>
      <c r="B15" s="16">
        <v>46245</v>
      </c>
      <c r="C15" s="14" t="s">
        <v>189</v>
      </c>
      <c r="D15" s="12" t="s">
        <v>230</v>
      </c>
      <c r="E15" s="12" t="s">
        <v>191</v>
      </c>
      <c r="F15" s="12">
        <v>457</v>
      </c>
      <c r="G15" s="12">
        <v>819</v>
      </c>
      <c r="H15" s="12" t="s">
        <v>193</v>
      </c>
      <c r="I15" s="16">
        <v>46245</v>
      </c>
      <c r="J15" s="12">
        <v>457</v>
      </c>
      <c r="K15" s="12">
        <v>819</v>
      </c>
      <c r="L15" s="14" t="s">
        <v>193</v>
      </c>
      <c r="M15" s="16">
        <v>46251</v>
      </c>
      <c r="N15" s="15" t="s">
        <v>231</v>
      </c>
      <c r="O15" s="12"/>
      <c r="P15" s="12" t="s">
        <v>195</v>
      </c>
    </row>
    <row r="16" spans="1:16" ht="75">
      <c r="A16" s="12" t="s">
        <v>232</v>
      </c>
      <c r="B16" s="16">
        <v>46253</v>
      </c>
      <c r="C16" s="14" t="s">
        <v>189</v>
      </c>
      <c r="D16" s="12" t="s">
        <v>200</v>
      </c>
      <c r="E16" s="12" t="s">
        <v>191</v>
      </c>
      <c r="F16" s="12">
        <v>100</v>
      </c>
      <c r="G16" s="12"/>
      <c r="H16" s="12" t="s">
        <v>193</v>
      </c>
      <c r="I16" s="16">
        <v>46253</v>
      </c>
      <c r="J16" s="12">
        <v>250</v>
      </c>
      <c r="K16" s="12"/>
      <c r="L16" s="12" t="s">
        <v>193</v>
      </c>
      <c r="M16" s="16">
        <v>46266</v>
      </c>
      <c r="N16" s="15" t="s">
        <v>233</v>
      </c>
      <c r="O16" s="12"/>
      <c r="P16" s="12" t="s">
        <v>195</v>
      </c>
    </row>
    <row r="17" spans="1:16" ht="137.5">
      <c r="A17" s="12" t="s">
        <v>234</v>
      </c>
      <c r="B17" s="16">
        <v>46275</v>
      </c>
      <c r="C17" s="14" t="s">
        <v>189</v>
      </c>
      <c r="D17" s="12" t="s">
        <v>230</v>
      </c>
      <c r="E17" s="12" t="s">
        <v>191</v>
      </c>
      <c r="F17" s="12">
        <v>98</v>
      </c>
      <c r="G17" s="12"/>
      <c r="H17" s="12" t="s">
        <v>192</v>
      </c>
      <c r="I17" s="16">
        <v>46275</v>
      </c>
      <c r="J17" s="12">
        <v>98</v>
      </c>
      <c r="K17" s="12"/>
      <c r="L17" s="12" t="s">
        <v>193</v>
      </c>
      <c r="M17" s="16">
        <v>46282</v>
      </c>
      <c r="N17" s="15" t="s">
        <v>235</v>
      </c>
      <c r="O17" s="12" t="s">
        <v>188</v>
      </c>
      <c r="P17" s="12" t="s">
        <v>202</v>
      </c>
    </row>
    <row r="18" spans="1:16" ht="187.5">
      <c r="A18" s="12" t="s">
        <v>236</v>
      </c>
      <c r="B18" s="16">
        <v>46280</v>
      </c>
      <c r="C18" s="14" t="s">
        <v>189</v>
      </c>
      <c r="D18" s="12" t="s">
        <v>197</v>
      </c>
      <c r="E18" s="12" t="s">
        <v>191</v>
      </c>
      <c r="F18" s="12">
        <v>176</v>
      </c>
      <c r="G18" s="12"/>
      <c r="H18" s="12" t="s">
        <v>192</v>
      </c>
      <c r="I18" s="16">
        <v>46280</v>
      </c>
      <c r="J18" s="12">
        <v>176</v>
      </c>
      <c r="K18" s="12"/>
      <c r="L18" s="14" t="s">
        <v>193</v>
      </c>
      <c r="M18" s="16">
        <v>46286</v>
      </c>
      <c r="N18" s="15" t="s">
        <v>237</v>
      </c>
      <c r="O18" s="12" t="s">
        <v>238</v>
      </c>
      <c r="P18" s="12" t="s">
        <v>202</v>
      </c>
    </row>
    <row r="19" spans="1:16" ht="50">
      <c r="A19" s="12" t="s">
        <v>239</v>
      </c>
      <c r="B19" s="16">
        <v>46296</v>
      </c>
      <c r="C19" s="14" t="s">
        <v>189</v>
      </c>
      <c r="D19" s="12" t="s">
        <v>197</v>
      </c>
      <c r="E19" s="12" t="s">
        <v>191</v>
      </c>
      <c r="F19" s="12">
        <v>1040</v>
      </c>
      <c r="G19" s="12"/>
      <c r="H19" s="12" t="s">
        <v>205</v>
      </c>
      <c r="I19" s="16">
        <v>46296</v>
      </c>
      <c r="J19" s="12">
        <v>1040</v>
      </c>
      <c r="K19" s="12"/>
      <c r="L19" s="14" t="s">
        <v>205</v>
      </c>
      <c r="M19" s="16">
        <v>46301</v>
      </c>
      <c r="N19" s="15" t="s">
        <v>240</v>
      </c>
      <c r="O19" s="12"/>
      <c r="P19" s="12" t="s">
        <v>195</v>
      </c>
    </row>
    <row r="20" spans="1:16" ht="25">
      <c r="A20" s="12" t="s">
        <v>241</v>
      </c>
      <c r="B20" s="13"/>
      <c r="C20" s="14" t="s">
        <v>189</v>
      </c>
      <c r="D20" s="12" t="s">
        <v>197</v>
      </c>
      <c r="E20" s="12" t="s">
        <v>191</v>
      </c>
      <c r="F20" s="14"/>
      <c r="G20" s="12"/>
      <c r="H20" s="14"/>
      <c r="I20" s="16"/>
      <c r="J20" s="12"/>
      <c r="K20" s="12"/>
      <c r="L20" s="14"/>
      <c r="M20" s="16">
        <v>46306</v>
      </c>
      <c r="N20" s="15" t="s">
        <v>242</v>
      </c>
      <c r="O20" s="12"/>
      <c r="P20" s="12"/>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workbookViewId="0">
      <pane xSplit="1" ySplit="1" topLeftCell="B2" activePane="bottomRight" state="frozen"/>
      <selection pane="topRight"/>
      <selection pane="bottomLeft"/>
      <selection pane="bottomRight" activeCell="D3" sqref="D3"/>
    </sheetView>
  </sheetViews>
  <sheetFormatPr defaultRowHeight="14"/>
  <cols>
    <col min="1" max="2" width="18" customWidth="1"/>
    <col min="3" max="4" width="60" customWidth="1"/>
    <col min="5" max="8" width="18" customWidth="1"/>
  </cols>
  <sheetData>
    <row r="1" spans="1:8" ht="40" customHeight="1">
      <c r="A1" s="5" t="s">
        <v>243</v>
      </c>
      <c r="B1" s="5" t="s">
        <v>172</v>
      </c>
      <c r="C1" s="5" t="s">
        <v>244</v>
      </c>
      <c r="D1" s="5" t="s">
        <v>245</v>
      </c>
      <c r="E1" s="8" t="s">
        <v>246</v>
      </c>
      <c r="F1" s="8" t="s">
        <v>247</v>
      </c>
      <c r="G1" s="5" t="s">
        <v>248</v>
      </c>
      <c r="H1" s="5" t="s">
        <v>249</v>
      </c>
    </row>
    <row r="2" spans="1:8" ht="25" customHeight="1">
      <c r="A2" s="12" t="s">
        <v>250</v>
      </c>
      <c r="B2" s="12" t="s">
        <v>188</v>
      </c>
      <c r="C2" s="15" t="s">
        <v>251</v>
      </c>
      <c r="D2" s="17" t="s">
        <v>252</v>
      </c>
      <c r="E2" s="12">
        <v>573</v>
      </c>
      <c r="F2" s="12">
        <v>177</v>
      </c>
      <c r="G2" s="12" t="s">
        <v>253</v>
      </c>
      <c r="H2" s="14" t="s">
        <v>166</v>
      </c>
    </row>
    <row r="3" spans="1:8" ht="25" customHeight="1">
      <c r="A3" s="12" t="s">
        <v>254</v>
      </c>
      <c r="B3" s="12" t="s">
        <v>196</v>
      </c>
      <c r="C3" s="15" t="s">
        <v>255</v>
      </c>
      <c r="D3" s="15" t="s">
        <v>256</v>
      </c>
      <c r="E3" s="12"/>
      <c r="F3" s="12">
        <v>227</v>
      </c>
      <c r="G3" s="12" t="s">
        <v>253</v>
      </c>
      <c r="H3" s="14" t="s">
        <v>166</v>
      </c>
    </row>
    <row r="4" spans="1:8" ht="25" customHeight="1">
      <c r="A4" s="12" t="s">
        <v>257</v>
      </c>
      <c r="B4" s="12" t="s">
        <v>199</v>
      </c>
      <c r="C4" s="15" t="s">
        <v>258</v>
      </c>
      <c r="D4" s="17" t="s">
        <v>259</v>
      </c>
      <c r="E4" s="12"/>
      <c r="F4" s="12">
        <v>80</v>
      </c>
      <c r="G4" s="12" t="s">
        <v>260</v>
      </c>
      <c r="H4" s="14" t="s">
        <v>166</v>
      </c>
    </row>
    <row r="5" spans="1:8" ht="25" customHeight="1">
      <c r="A5" s="12" t="s">
        <v>261</v>
      </c>
      <c r="B5" s="12" t="s">
        <v>203</v>
      </c>
      <c r="C5" s="15" t="s">
        <v>262</v>
      </c>
      <c r="D5" s="15" t="s">
        <v>263</v>
      </c>
      <c r="E5" s="12">
        <v>3950</v>
      </c>
      <c r="F5" s="12">
        <v>1573</v>
      </c>
      <c r="G5" s="12" t="s">
        <v>253</v>
      </c>
      <c r="H5" s="14" t="s">
        <v>166</v>
      </c>
    </row>
    <row r="6" spans="1:8">
      <c r="A6" s="12" t="s">
        <v>264</v>
      </c>
      <c r="B6" s="12" t="s">
        <v>207</v>
      </c>
      <c r="C6" s="15" t="s">
        <v>265</v>
      </c>
      <c r="D6" s="15" t="s">
        <v>266</v>
      </c>
      <c r="E6" s="12"/>
      <c r="F6" s="12">
        <v>626</v>
      </c>
      <c r="G6" s="12" t="s">
        <v>253</v>
      </c>
      <c r="H6" s="14" t="s">
        <v>166</v>
      </c>
    </row>
    <row r="7" spans="1:8" ht="25">
      <c r="A7" s="12" t="s">
        <v>267</v>
      </c>
      <c r="B7" s="12" t="s">
        <v>209</v>
      </c>
      <c r="C7" s="15" t="s">
        <v>268</v>
      </c>
      <c r="D7" s="17" t="s">
        <v>269</v>
      </c>
      <c r="E7" s="12"/>
      <c r="F7" s="12">
        <v>889</v>
      </c>
      <c r="G7" s="12" t="s">
        <v>253</v>
      </c>
      <c r="H7" s="14" t="s">
        <v>166</v>
      </c>
    </row>
    <row r="8" spans="1:8" ht="25">
      <c r="A8" s="12" t="s">
        <v>270</v>
      </c>
      <c r="B8" s="12" t="s">
        <v>211</v>
      </c>
      <c r="C8" s="15" t="s">
        <v>271</v>
      </c>
      <c r="D8" s="15" t="s">
        <v>272</v>
      </c>
      <c r="E8" s="12"/>
      <c r="F8" s="12">
        <v>300</v>
      </c>
      <c r="G8" s="12" t="s">
        <v>260</v>
      </c>
      <c r="H8" s="14" t="s">
        <v>166</v>
      </c>
    </row>
    <row r="9" spans="1:8" ht="37.5">
      <c r="A9" s="12" t="s">
        <v>273</v>
      </c>
      <c r="B9" s="12" t="s">
        <v>213</v>
      </c>
      <c r="C9" s="15" t="s">
        <v>274</v>
      </c>
      <c r="D9" s="17" t="s">
        <v>275</v>
      </c>
      <c r="E9" s="12"/>
      <c r="F9" s="12">
        <v>500</v>
      </c>
      <c r="G9" s="12" t="s">
        <v>253</v>
      </c>
      <c r="H9" s="14" t="s">
        <v>166</v>
      </c>
    </row>
    <row r="10" spans="1:8" ht="25">
      <c r="A10" s="12" t="s">
        <v>276</v>
      </c>
      <c r="B10" s="12" t="s">
        <v>215</v>
      </c>
      <c r="C10" s="15" t="s">
        <v>277</v>
      </c>
      <c r="D10" s="15" t="s">
        <v>278</v>
      </c>
      <c r="E10" s="12"/>
      <c r="F10" s="12">
        <v>735</v>
      </c>
      <c r="G10" s="12" t="s">
        <v>253</v>
      </c>
      <c r="H10" s="14" t="s">
        <v>166</v>
      </c>
    </row>
    <row r="11" spans="1:8" ht="25">
      <c r="A11" s="12" t="s">
        <v>279</v>
      </c>
      <c r="B11" s="12" t="s">
        <v>219</v>
      </c>
      <c r="C11" s="15" t="s">
        <v>280</v>
      </c>
      <c r="D11" s="17" t="s">
        <v>281</v>
      </c>
      <c r="E11" s="12"/>
      <c r="F11" s="12">
        <v>650</v>
      </c>
      <c r="G11" s="12" t="s">
        <v>253</v>
      </c>
      <c r="H11" s="14" t="s">
        <v>166</v>
      </c>
    </row>
    <row r="12" spans="1:8">
      <c r="A12" s="12" t="s">
        <v>282</v>
      </c>
      <c r="B12" s="12" t="s">
        <v>221</v>
      </c>
      <c r="C12" s="15" t="s">
        <v>283</v>
      </c>
      <c r="D12" s="15" t="s">
        <v>284</v>
      </c>
      <c r="E12" s="12"/>
      <c r="F12" s="12">
        <v>884</v>
      </c>
      <c r="G12" s="12" t="s">
        <v>253</v>
      </c>
      <c r="H12" s="14" t="s">
        <v>166</v>
      </c>
    </row>
    <row r="13" spans="1:8">
      <c r="A13" s="12" t="s">
        <v>285</v>
      </c>
      <c r="B13" s="12" t="s">
        <v>223</v>
      </c>
      <c r="C13" s="15" t="s">
        <v>286</v>
      </c>
      <c r="D13" s="15" t="s">
        <v>287</v>
      </c>
      <c r="E13" s="12"/>
      <c r="F13" s="12">
        <v>260</v>
      </c>
      <c r="G13" s="12" t="s">
        <v>253</v>
      </c>
      <c r="H13" s="14" t="s">
        <v>166</v>
      </c>
    </row>
    <row r="14" spans="1:8" ht="25">
      <c r="A14" s="12" t="s">
        <v>288</v>
      </c>
      <c r="B14" s="12" t="s">
        <v>225</v>
      </c>
      <c r="C14" s="15" t="s">
        <v>289</v>
      </c>
      <c r="D14" s="17" t="s">
        <v>290</v>
      </c>
      <c r="E14" s="12"/>
      <c r="F14" s="12">
        <v>3495</v>
      </c>
      <c r="G14" s="12" t="s">
        <v>253</v>
      </c>
      <c r="H14" s="14" t="s">
        <v>166</v>
      </c>
    </row>
    <row r="15" spans="1:8">
      <c r="A15" s="12" t="s">
        <v>291</v>
      </c>
      <c r="B15" s="12" t="s">
        <v>229</v>
      </c>
      <c r="C15" s="15" t="s">
        <v>292</v>
      </c>
      <c r="D15" s="15" t="s">
        <v>293</v>
      </c>
      <c r="E15" s="12">
        <v>819</v>
      </c>
      <c r="F15" s="12">
        <v>457</v>
      </c>
      <c r="G15" s="12" t="s">
        <v>253</v>
      </c>
      <c r="H15" s="14" t="s">
        <v>166</v>
      </c>
    </row>
    <row r="16" spans="1:8">
      <c r="A16" s="12" t="s">
        <v>294</v>
      </c>
      <c r="B16" s="12" t="s">
        <v>232</v>
      </c>
      <c r="C16" s="15" t="s">
        <v>295</v>
      </c>
      <c r="D16" s="15" t="s">
        <v>296</v>
      </c>
      <c r="E16" s="12"/>
      <c r="F16" s="12">
        <v>250</v>
      </c>
      <c r="G16" s="12" t="s">
        <v>253</v>
      </c>
      <c r="H16" s="14" t="s">
        <v>166</v>
      </c>
    </row>
    <row r="17" spans="1:8">
      <c r="A17" s="12" t="s">
        <v>297</v>
      </c>
      <c r="B17" s="12" t="s">
        <v>234</v>
      </c>
      <c r="C17" s="15" t="s">
        <v>298</v>
      </c>
      <c r="D17" s="15" t="s">
        <v>299</v>
      </c>
      <c r="E17" s="12"/>
      <c r="F17" s="12">
        <v>98</v>
      </c>
      <c r="G17" s="12" t="s">
        <v>253</v>
      </c>
      <c r="H17" s="14" t="s">
        <v>166</v>
      </c>
    </row>
    <row r="18" spans="1:8" ht="37.5">
      <c r="A18" s="12" t="s">
        <v>300</v>
      </c>
      <c r="B18" s="12" t="s">
        <v>236</v>
      </c>
      <c r="C18" s="15" t="s">
        <v>301</v>
      </c>
      <c r="D18" s="17" t="s">
        <v>302</v>
      </c>
      <c r="E18" s="12"/>
      <c r="F18" s="12">
        <v>176</v>
      </c>
      <c r="G18" s="12" t="s">
        <v>253</v>
      </c>
      <c r="H18" s="14" t="s">
        <v>166</v>
      </c>
    </row>
    <row r="19" spans="1:8" ht="62.5">
      <c r="A19" s="12" t="s">
        <v>303</v>
      </c>
      <c r="B19" s="12" t="s">
        <v>239</v>
      </c>
      <c r="C19" s="15" t="s">
        <v>304</v>
      </c>
      <c r="D19" s="15" t="s">
        <v>305</v>
      </c>
      <c r="E19" s="12"/>
      <c r="F19" s="12">
        <v>1040</v>
      </c>
      <c r="G19" s="12" t="s">
        <v>253</v>
      </c>
      <c r="H19" s="14" t="s">
        <v>166</v>
      </c>
    </row>
  </sheetData>
  <dataValidations count="2">
    <dataValidation type="list" sqref="G2:G1000" xr:uid="{00000000-0002-0000-0300-000000000000}">
      <formula1>"Alert,RNA"</formula1>
    </dataValidation>
    <dataValidation type="list" sqref="H2:H1000" xr:uid="{00000000-0002-0000-0300-000001000000}">
      <formula1>"Yes,No,Unknown"</formula1>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7"/>
  <sheetViews>
    <sheetView showGridLines="0" workbookViewId="0">
      <pane xSplit="1" ySplit="1" topLeftCell="B2" activePane="bottomRight" state="frozen"/>
      <selection pane="topRight"/>
      <selection pane="bottomLeft"/>
      <selection pane="bottomRight" activeCell="E34" sqref="E34"/>
    </sheetView>
  </sheetViews>
  <sheetFormatPr defaultRowHeight="14"/>
  <cols>
    <col min="1" max="1" width="18" customWidth="1"/>
    <col min="2" max="2" width="7.83203125" bestFit="1" customWidth="1"/>
    <col min="3" max="3" width="70" bestFit="1" customWidth="1"/>
    <col min="4" max="5" width="18" customWidth="1"/>
    <col min="6" max="6" width="39.08203125" bestFit="1" customWidth="1"/>
    <col min="7" max="7" width="15.08203125" bestFit="1" customWidth="1"/>
  </cols>
  <sheetData>
    <row r="1" spans="1:7" ht="40" customHeight="1">
      <c r="A1" s="5" t="s">
        <v>243</v>
      </c>
      <c r="B1" s="5" t="s">
        <v>306</v>
      </c>
      <c r="C1" s="5" t="s">
        <v>307</v>
      </c>
      <c r="D1" s="9" t="s">
        <v>308</v>
      </c>
      <c r="E1" s="9" t="s">
        <v>309</v>
      </c>
      <c r="F1" s="5" t="s">
        <v>310</v>
      </c>
      <c r="G1" s="5" t="s">
        <v>311</v>
      </c>
    </row>
    <row r="2" spans="1:7">
      <c r="A2" s="12" t="s">
        <v>250</v>
      </c>
      <c r="B2" s="12" t="s">
        <v>244</v>
      </c>
      <c r="C2" s="15" t="s">
        <v>251</v>
      </c>
      <c r="D2" s="14"/>
      <c r="E2" s="14"/>
      <c r="F2" s="12"/>
      <c r="G2" s="12" t="s">
        <v>312</v>
      </c>
    </row>
    <row r="3" spans="1:7" ht="25">
      <c r="A3" s="12" t="s">
        <v>250</v>
      </c>
      <c r="B3" s="12" t="s">
        <v>245</v>
      </c>
      <c r="C3" s="15" t="s">
        <v>252</v>
      </c>
      <c r="D3" s="14"/>
      <c r="E3" s="14"/>
      <c r="F3" s="12"/>
      <c r="G3" s="12" t="s">
        <v>312</v>
      </c>
    </row>
    <row r="4" spans="1:7">
      <c r="A4" s="12" t="s">
        <v>254</v>
      </c>
      <c r="B4" s="12" t="s">
        <v>244</v>
      </c>
      <c r="C4" s="15" t="s">
        <v>255</v>
      </c>
      <c r="D4" s="14"/>
      <c r="E4" s="14"/>
      <c r="F4" s="12"/>
      <c r="G4" s="12" t="s">
        <v>312</v>
      </c>
    </row>
    <row r="5" spans="1:7">
      <c r="A5" s="12" t="s">
        <v>254</v>
      </c>
      <c r="B5" s="12" t="s">
        <v>245</v>
      </c>
      <c r="C5" s="15" t="s">
        <v>256</v>
      </c>
      <c r="D5" s="14"/>
      <c r="E5" s="14"/>
      <c r="F5" s="12"/>
      <c r="G5" s="12" t="s">
        <v>312</v>
      </c>
    </row>
    <row r="6" spans="1:7">
      <c r="A6" s="12" t="s">
        <v>257</v>
      </c>
      <c r="B6" s="12" t="s">
        <v>244</v>
      </c>
      <c r="C6" s="15" t="s">
        <v>258</v>
      </c>
      <c r="D6" s="14"/>
      <c r="E6" s="14"/>
      <c r="F6" s="12"/>
      <c r="G6" s="12" t="s">
        <v>312</v>
      </c>
    </row>
    <row r="7" spans="1:7">
      <c r="A7" s="12" t="s">
        <v>257</v>
      </c>
      <c r="B7" s="12" t="s">
        <v>245</v>
      </c>
      <c r="C7" s="15" t="s">
        <v>259</v>
      </c>
      <c r="D7" s="14"/>
      <c r="E7" s="14"/>
      <c r="F7" s="12"/>
      <c r="G7" s="12" t="s">
        <v>312</v>
      </c>
    </row>
    <row r="8" spans="1:7">
      <c r="A8" s="12" t="s">
        <v>261</v>
      </c>
      <c r="B8" s="12" t="s">
        <v>244</v>
      </c>
      <c r="C8" s="15" t="s">
        <v>262</v>
      </c>
      <c r="D8" s="14"/>
      <c r="E8" s="14"/>
      <c r="F8" s="12"/>
      <c r="G8" s="12" t="s">
        <v>312</v>
      </c>
    </row>
    <row r="9" spans="1:7">
      <c r="A9" s="12" t="s">
        <v>261</v>
      </c>
      <c r="B9" s="12" t="s">
        <v>245</v>
      </c>
      <c r="C9" s="15" t="s">
        <v>263</v>
      </c>
      <c r="D9" s="14"/>
      <c r="E9" s="14"/>
      <c r="F9" s="12"/>
      <c r="G9" s="12" t="s">
        <v>312</v>
      </c>
    </row>
    <row r="10" spans="1:7">
      <c r="A10" s="12" t="s">
        <v>264</v>
      </c>
      <c r="B10" s="12" t="s">
        <v>244</v>
      </c>
      <c r="C10" s="15" t="s">
        <v>265</v>
      </c>
      <c r="D10" s="14"/>
      <c r="E10" s="14"/>
      <c r="F10" s="12"/>
      <c r="G10" s="12" t="s">
        <v>312</v>
      </c>
    </row>
    <row r="11" spans="1:7">
      <c r="A11" s="12" t="s">
        <v>264</v>
      </c>
      <c r="B11" s="12" t="s">
        <v>245</v>
      </c>
      <c r="C11" s="15" t="s">
        <v>266</v>
      </c>
      <c r="D11" s="14"/>
      <c r="E11" s="14"/>
      <c r="F11" s="12"/>
      <c r="G11" s="12" t="s">
        <v>312</v>
      </c>
    </row>
    <row r="12" spans="1:7" ht="25">
      <c r="A12" s="12" t="s">
        <v>267</v>
      </c>
      <c r="B12" s="12" t="s">
        <v>244</v>
      </c>
      <c r="C12" s="15" t="s">
        <v>268</v>
      </c>
      <c r="D12" s="14"/>
      <c r="E12" s="14"/>
      <c r="F12" s="12"/>
      <c r="G12" s="12" t="s">
        <v>312</v>
      </c>
    </row>
    <row r="13" spans="1:7">
      <c r="A13" s="12" t="s">
        <v>267</v>
      </c>
      <c r="B13" s="12" t="s">
        <v>245</v>
      </c>
      <c r="C13" s="15" t="s">
        <v>269</v>
      </c>
      <c r="D13" s="14"/>
      <c r="E13" s="14"/>
      <c r="F13" s="12"/>
      <c r="G13" s="12" t="s">
        <v>312</v>
      </c>
    </row>
    <row r="14" spans="1:7">
      <c r="A14" s="12" t="s">
        <v>270</v>
      </c>
      <c r="B14" s="12" t="s">
        <v>244</v>
      </c>
      <c r="C14" s="15" t="s">
        <v>271</v>
      </c>
      <c r="D14" s="14"/>
      <c r="E14" s="14"/>
      <c r="F14" s="12"/>
      <c r="G14" s="12" t="s">
        <v>312</v>
      </c>
    </row>
    <row r="15" spans="1:7">
      <c r="A15" s="12" t="s">
        <v>270</v>
      </c>
      <c r="B15" s="12" t="s">
        <v>245</v>
      </c>
      <c r="C15" s="15" t="s">
        <v>272</v>
      </c>
      <c r="D15" s="14"/>
      <c r="E15" s="14"/>
      <c r="F15" s="12"/>
      <c r="G15" s="12" t="s">
        <v>312</v>
      </c>
    </row>
    <row r="16" spans="1:7">
      <c r="A16" s="12" t="s">
        <v>273</v>
      </c>
      <c r="B16" s="12" t="s">
        <v>244</v>
      </c>
      <c r="C16" s="15" t="s">
        <v>274</v>
      </c>
      <c r="D16" s="14"/>
      <c r="E16" s="14"/>
      <c r="F16" s="12"/>
      <c r="G16" s="12" t="s">
        <v>312</v>
      </c>
    </row>
    <row r="17" spans="1:7" ht="25">
      <c r="A17" s="12" t="s">
        <v>273</v>
      </c>
      <c r="B17" s="12" t="s">
        <v>245</v>
      </c>
      <c r="C17" s="15" t="s">
        <v>275</v>
      </c>
      <c r="D17" s="14"/>
      <c r="E17" s="14"/>
      <c r="F17" s="12"/>
      <c r="G17" s="12" t="s">
        <v>312</v>
      </c>
    </row>
    <row r="18" spans="1:7">
      <c r="A18" s="12" t="s">
        <v>276</v>
      </c>
      <c r="B18" s="12" t="s">
        <v>244</v>
      </c>
      <c r="C18" s="15" t="s">
        <v>277</v>
      </c>
      <c r="D18" s="14"/>
      <c r="E18" s="14"/>
      <c r="F18" s="12"/>
      <c r="G18" s="12" t="s">
        <v>312</v>
      </c>
    </row>
    <row r="19" spans="1:7" ht="25">
      <c r="A19" s="12" t="s">
        <v>276</v>
      </c>
      <c r="B19" s="12" t="s">
        <v>245</v>
      </c>
      <c r="C19" s="15" t="s">
        <v>278</v>
      </c>
      <c r="D19" s="14"/>
      <c r="E19" s="14"/>
      <c r="F19" s="12"/>
      <c r="G19" s="12" t="s">
        <v>312</v>
      </c>
    </row>
    <row r="20" spans="1:7">
      <c r="A20" s="12" t="s">
        <v>279</v>
      </c>
      <c r="B20" s="12" t="s">
        <v>244</v>
      </c>
      <c r="C20" s="15" t="s">
        <v>280</v>
      </c>
      <c r="D20" s="14"/>
      <c r="E20" s="14"/>
      <c r="F20" s="12"/>
      <c r="G20" s="12" t="s">
        <v>312</v>
      </c>
    </row>
    <row r="21" spans="1:7">
      <c r="A21" s="12" t="s">
        <v>279</v>
      </c>
      <c r="B21" s="12" t="s">
        <v>245</v>
      </c>
      <c r="C21" s="15" t="s">
        <v>281</v>
      </c>
      <c r="D21" s="14"/>
      <c r="E21" s="14"/>
      <c r="F21" s="12"/>
      <c r="G21" s="12" t="s">
        <v>312</v>
      </c>
    </row>
    <row r="22" spans="1:7">
      <c r="A22" s="12" t="s">
        <v>282</v>
      </c>
      <c r="B22" s="12" t="s">
        <v>244</v>
      </c>
      <c r="C22" s="15" t="s">
        <v>283</v>
      </c>
      <c r="D22" s="14"/>
      <c r="E22" s="14"/>
      <c r="F22" s="12"/>
      <c r="G22" s="12" t="s">
        <v>312</v>
      </c>
    </row>
    <row r="23" spans="1:7">
      <c r="A23" s="12" t="s">
        <v>282</v>
      </c>
      <c r="B23" s="12" t="s">
        <v>245</v>
      </c>
      <c r="C23" s="15" t="s">
        <v>284</v>
      </c>
      <c r="D23" s="14"/>
      <c r="E23" s="14"/>
      <c r="F23" s="12"/>
      <c r="G23" s="12" t="s">
        <v>312</v>
      </c>
    </row>
    <row r="24" spans="1:7">
      <c r="A24" s="12" t="s">
        <v>285</v>
      </c>
      <c r="B24" s="12" t="s">
        <v>244</v>
      </c>
      <c r="C24" s="15" t="s">
        <v>286</v>
      </c>
      <c r="D24" s="14"/>
      <c r="E24" s="14"/>
      <c r="F24" s="12"/>
      <c r="G24" s="12" t="s">
        <v>312</v>
      </c>
    </row>
    <row r="25" spans="1:7">
      <c r="A25" s="12" t="s">
        <v>285</v>
      </c>
      <c r="B25" s="12" t="s">
        <v>245</v>
      </c>
      <c r="C25" s="15" t="s">
        <v>287</v>
      </c>
      <c r="D25" s="14"/>
      <c r="E25" s="14"/>
      <c r="F25" s="12"/>
      <c r="G25" s="12" t="s">
        <v>312</v>
      </c>
    </row>
    <row r="26" spans="1:7" ht="25">
      <c r="A26" s="12" t="s">
        <v>288</v>
      </c>
      <c r="B26" s="12" t="s">
        <v>244</v>
      </c>
      <c r="C26" s="15" t="s">
        <v>289</v>
      </c>
      <c r="D26" s="14"/>
      <c r="E26" s="14"/>
      <c r="F26" s="12"/>
      <c r="G26" s="12" t="s">
        <v>312</v>
      </c>
    </row>
    <row r="27" spans="1:7">
      <c r="A27" s="12" t="s">
        <v>288</v>
      </c>
      <c r="B27" s="12" t="s">
        <v>245</v>
      </c>
      <c r="C27" s="15" t="s">
        <v>290</v>
      </c>
      <c r="D27" s="14"/>
      <c r="E27" s="14"/>
      <c r="F27" s="12"/>
      <c r="G27" s="12" t="s">
        <v>312</v>
      </c>
    </row>
    <row r="28" spans="1:7">
      <c r="A28" s="12" t="s">
        <v>291</v>
      </c>
      <c r="B28" s="12" t="s">
        <v>244</v>
      </c>
      <c r="C28" s="15" t="s">
        <v>292</v>
      </c>
      <c r="D28" s="14"/>
      <c r="E28" s="14"/>
      <c r="F28" s="12"/>
      <c r="G28" s="12" t="s">
        <v>312</v>
      </c>
    </row>
    <row r="29" spans="1:7">
      <c r="A29" s="12" t="s">
        <v>291</v>
      </c>
      <c r="B29" s="12" t="s">
        <v>245</v>
      </c>
      <c r="C29" s="15" t="s">
        <v>293</v>
      </c>
      <c r="D29" s="14"/>
      <c r="E29" s="14"/>
      <c r="F29" s="12"/>
      <c r="G29" s="12" t="s">
        <v>312</v>
      </c>
    </row>
    <row r="30" spans="1:7">
      <c r="A30" s="12" t="s">
        <v>294</v>
      </c>
      <c r="B30" s="12" t="s">
        <v>244</v>
      </c>
      <c r="C30" s="15" t="s">
        <v>295</v>
      </c>
      <c r="D30" s="14"/>
      <c r="E30" s="14"/>
      <c r="F30" s="12"/>
      <c r="G30" s="12" t="s">
        <v>312</v>
      </c>
    </row>
    <row r="31" spans="1:7">
      <c r="A31" s="12" t="s">
        <v>294</v>
      </c>
      <c r="B31" s="12" t="s">
        <v>245</v>
      </c>
      <c r="C31" s="15" t="s">
        <v>296</v>
      </c>
      <c r="D31" s="14"/>
      <c r="E31" s="14"/>
      <c r="F31" s="12"/>
      <c r="G31" s="12" t="s">
        <v>312</v>
      </c>
    </row>
    <row r="32" spans="1:7">
      <c r="A32" s="12" t="s">
        <v>297</v>
      </c>
      <c r="B32" s="12" t="s">
        <v>244</v>
      </c>
      <c r="C32" s="15" t="s">
        <v>298</v>
      </c>
      <c r="D32" s="14"/>
      <c r="E32" s="14"/>
      <c r="F32" s="12"/>
      <c r="G32" s="12" t="s">
        <v>312</v>
      </c>
    </row>
    <row r="33" spans="1:7">
      <c r="A33" s="12" t="s">
        <v>297</v>
      </c>
      <c r="B33" s="12" t="s">
        <v>245</v>
      </c>
      <c r="C33" s="15" t="s">
        <v>299</v>
      </c>
      <c r="D33" s="14"/>
      <c r="E33" s="14"/>
      <c r="F33" s="12"/>
      <c r="G33" s="12" t="s">
        <v>312</v>
      </c>
    </row>
    <row r="34" spans="1:7" ht="37.5">
      <c r="A34" s="12" t="s">
        <v>300</v>
      </c>
      <c r="B34" s="12" t="s">
        <v>244</v>
      </c>
      <c r="C34" s="15" t="s">
        <v>301</v>
      </c>
      <c r="D34" s="14"/>
      <c r="E34" s="14"/>
      <c r="F34" s="12"/>
      <c r="G34" s="12" t="s">
        <v>312</v>
      </c>
    </row>
    <row r="35" spans="1:7" ht="25">
      <c r="A35" s="12" t="s">
        <v>300</v>
      </c>
      <c r="B35" s="12" t="s">
        <v>245</v>
      </c>
      <c r="C35" s="15" t="s">
        <v>302</v>
      </c>
      <c r="D35" s="14"/>
      <c r="E35" s="14"/>
      <c r="F35" s="12"/>
      <c r="G35" s="12" t="s">
        <v>312</v>
      </c>
    </row>
    <row r="36" spans="1:7" ht="50">
      <c r="A36" s="12" t="s">
        <v>303</v>
      </c>
      <c r="B36" s="12" t="s">
        <v>244</v>
      </c>
      <c r="C36" s="15" t="s">
        <v>304</v>
      </c>
      <c r="D36" s="14"/>
      <c r="E36" s="14"/>
      <c r="F36" s="12"/>
      <c r="G36" s="12" t="s">
        <v>312</v>
      </c>
    </row>
    <row r="37" spans="1:7">
      <c r="A37" s="12" t="s">
        <v>303</v>
      </c>
      <c r="B37" s="12" t="s">
        <v>245</v>
      </c>
      <c r="C37" s="15" t="s">
        <v>305</v>
      </c>
      <c r="D37" s="14"/>
      <c r="E37" s="14"/>
      <c r="F37" s="12"/>
      <c r="G37" s="12" t="s">
        <v>312</v>
      </c>
    </row>
  </sheetData>
  <dataValidations count="2">
    <dataValidation type="list" sqref="B2:B1000" xr:uid="{00000000-0002-0000-0400-000000000000}">
      <formula1>"origin,arrival"</formula1>
    </dataValidation>
    <dataValidation type="list" sqref="G2:G1000" xr:uid="{00000000-0002-0000-0400-000001000000}">
      <formula1>"Demo,Confirmed,Pending,Rejected"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8"/>
  <sheetViews>
    <sheetView showGridLines="0" workbookViewId="0">
      <pane xSplit="1" ySplit="1" topLeftCell="B2" activePane="bottomRight" state="frozen"/>
      <selection pane="topRight"/>
      <selection pane="bottomLeft"/>
      <selection pane="bottomRight" activeCell="B2" sqref="B2"/>
    </sheetView>
  </sheetViews>
  <sheetFormatPr defaultRowHeight="14"/>
  <cols>
    <col min="1" max="8" width="18" customWidth="1"/>
    <col min="9" max="9" width="21" customWidth="1"/>
    <col min="10" max="10" width="45" customWidth="1"/>
    <col min="11" max="11" width="55" customWidth="1"/>
    <col min="12" max="13" width="45" customWidth="1"/>
  </cols>
  <sheetData>
    <row r="1" spans="1:13" ht="40" customHeight="1">
      <c r="A1" s="5" t="s">
        <v>0</v>
      </c>
      <c r="B1" s="5" t="s">
        <v>172</v>
      </c>
      <c r="C1" s="5" t="s">
        <v>141</v>
      </c>
      <c r="D1" s="7" t="s">
        <v>313</v>
      </c>
      <c r="E1" s="7" t="s">
        <v>314</v>
      </c>
      <c r="F1" s="5" t="s">
        <v>315</v>
      </c>
      <c r="G1" s="8" t="s">
        <v>316</v>
      </c>
      <c r="H1" s="8" t="s">
        <v>317</v>
      </c>
      <c r="I1" s="8" t="s">
        <v>318</v>
      </c>
      <c r="J1" s="5" t="s">
        <v>319</v>
      </c>
      <c r="K1" s="5" t="s">
        <v>320</v>
      </c>
      <c r="L1" s="5" t="s">
        <v>321</v>
      </c>
      <c r="M1" s="5" t="s">
        <v>322</v>
      </c>
    </row>
    <row r="2" spans="1:13" ht="62" customHeight="1">
      <c r="A2" s="12" t="s">
        <v>7</v>
      </c>
      <c r="B2" s="12" t="s">
        <v>196</v>
      </c>
      <c r="C2" s="12" t="s">
        <v>323</v>
      </c>
      <c r="D2" s="16">
        <v>46140</v>
      </c>
      <c r="E2" s="16">
        <v>46140</v>
      </c>
      <c r="F2" s="12" t="s">
        <v>324</v>
      </c>
      <c r="G2" s="12">
        <v>38</v>
      </c>
      <c r="H2" s="12">
        <v>0</v>
      </c>
      <c r="I2" s="14"/>
      <c r="J2" s="15" t="s">
        <v>325</v>
      </c>
      <c r="K2" s="15" t="s">
        <v>326</v>
      </c>
      <c r="L2" s="14"/>
      <c r="M2" s="15" t="s">
        <v>327</v>
      </c>
    </row>
    <row r="3" spans="1:13" ht="62" customHeight="1">
      <c r="A3" s="12" t="s">
        <v>15</v>
      </c>
      <c r="B3" s="12" t="s">
        <v>207</v>
      </c>
      <c r="C3" s="12" t="s">
        <v>328</v>
      </c>
      <c r="D3" s="16">
        <v>46150</v>
      </c>
      <c r="E3" s="16">
        <v>46150</v>
      </c>
      <c r="F3" s="12" t="s">
        <v>324</v>
      </c>
      <c r="G3" s="12">
        <v>15</v>
      </c>
      <c r="H3" s="12">
        <v>0</v>
      </c>
      <c r="I3" s="14"/>
      <c r="J3" s="15" t="s">
        <v>329</v>
      </c>
      <c r="K3" s="15" t="s">
        <v>330</v>
      </c>
      <c r="L3" s="14"/>
      <c r="M3" s="15" t="s">
        <v>331</v>
      </c>
    </row>
    <row r="4" spans="1:13" ht="62.5">
      <c r="A4" s="12" t="s">
        <v>21</v>
      </c>
      <c r="B4" s="12" t="s">
        <v>203</v>
      </c>
      <c r="C4" s="12" t="s">
        <v>332</v>
      </c>
      <c r="D4" s="16">
        <v>46152</v>
      </c>
      <c r="E4" s="16">
        <v>46153</v>
      </c>
      <c r="F4" s="12" t="s">
        <v>324</v>
      </c>
      <c r="G4" s="12">
        <v>14</v>
      </c>
      <c r="H4" s="12">
        <v>100</v>
      </c>
      <c r="I4" s="14"/>
      <c r="J4" s="15" t="s">
        <v>333</v>
      </c>
      <c r="K4" s="15" t="s">
        <v>334</v>
      </c>
      <c r="L4" s="14"/>
      <c r="M4" s="15" t="s">
        <v>335</v>
      </c>
    </row>
    <row r="5" spans="1:13" ht="87.5">
      <c r="A5" s="12" t="s">
        <v>27</v>
      </c>
      <c r="B5" s="12" t="s">
        <v>188</v>
      </c>
      <c r="C5" s="12" t="s">
        <v>336</v>
      </c>
      <c r="D5" s="16">
        <v>46153</v>
      </c>
      <c r="E5" s="16">
        <v>46153</v>
      </c>
      <c r="F5" s="12" t="s">
        <v>324</v>
      </c>
      <c r="G5" s="12">
        <v>15</v>
      </c>
      <c r="H5" s="12">
        <v>0</v>
      </c>
      <c r="I5" s="12">
        <v>1</v>
      </c>
      <c r="J5" s="15" t="s">
        <v>337</v>
      </c>
      <c r="K5" s="15" t="s">
        <v>338</v>
      </c>
      <c r="L5" s="14"/>
      <c r="M5" s="15" t="s">
        <v>339</v>
      </c>
    </row>
    <row r="6" spans="1:13" ht="75">
      <c r="A6" s="12" t="s">
        <v>30</v>
      </c>
      <c r="B6" s="12" t="s">
        <v>209</v>
      </c>
      <c r="C6" s="12" t="s">
        <v>340</v>
      </c>
      <c r="D6" s="16">
        <v>46162</v>
      </c>
      <c r="E6" s="16">
        <v>46162</v>
      </c>
      <c r="F6" s="12" t="s">
        <v>341</v>
      </c>
      <c r="G6" s="12">
        <v>5</v>
      </c>
      <c r="H6" s="12">
        <v>25</v>
      </c>
      <c r="I6" s="12">
        <v>1</v>
      </c>
      <c r="J6" s="15" t="s">
        <v>342</v>
      </c>
      <c r="K6" s="15" t="s">
        <v>343</v>
      </c>
      <c r="L6" s="14"/>
      <c r="M6" s="15" t="s">
        <v>344</v>
      </c>
    </row>
    <row r="7" spans="1:13" ht="87.5">
      <c r="A7" s="12" t="s">
        <v>35</v>
      </c>
      <c r="B7" s="12" t="s">
        <v>213</v>
      </c>
      <c r="C7" s="12" t="s">
        <v>345</v>
      </c>
      <c r="D7" s="16">
        <v>46171</v>
      </c>
      <c r="E7" s="16">
        <v>46172</v>
      </c>
      <c r="F7" s="12" t="s">
        <v>341</v>
      </c>
      <c r="G7" s="12">
        <v>5</v>
      </c>
      <c r="H7" s="12">
        <v>6</v>
      </c>
      <c r="I7" s="12">
        <v>1</v>
      </c>
      <c r="J7" s="15" t="s">
        <v>346</v>
      </c>
      <c r="K7" s="15" t="s">
        <v>347</v>
      </c>
      <c r="L7" s="14"/>
      <c r="M7" s="15" t="s">
        <v>348</v>
      </c>
    </row>
    <row r="8" spans="1:13" ht="87.5">
      <c r="A8" s="12" t="s">
        <v>40</v>
      </c>
      <c r="B8" s="12" t="s">
        <v>215</v>
      </c>
      <c r="C8" s="12" t="s">
        <v>332</v>
      </c>
      <c r="D8" s="16">
        <v>46182</v>
      </c>
      <c r="E8" s="16">
        <v>46183</v>
      </c>
      <c r="F8" s="12" t="s">
        <v>341</v>
      </c>
      <c r="G8" s="12">
        <v>10</v>
      </c>
      <c r="H8" s="12">
        <v>38</v>
      </c>
      <c r="I8" s="12">
        <v>4</v>
      </c>
      <c r="J8" s="15" t="s">
        <v>349</v>
      </c>
      <c r="K8" s="15" t="s">
        <v>350</v>
      </c>
      <c r="L8" s="14"/>
      <c r="M8" s="15" t="s">
        <v>351</v>
      </c>
    </row>
    <row r="9" spans="1:13" ht="100">
      <c r="A9" s="12" t="s">
        <v>43</v>
      </c>
      <c r="B9" s="12" t="s">
        <v>219</v>
      </c>
      <c r="C9" s="12" t="s">
        <v>328</v>
      </c>
      <c r="D9" s="16">
        <v>46197</v>
      </c>
      <c r="E9" s="16">
        <v>46197</v>
      </c>
      <c r="F9" s="12" t="s">
        <v>341</v>
      </c>
      <c r="G9" s="12">
        <v>12</v>
      </c>
      <c r="H9" s="12">
        <v>10</v>
      </c>
      <c r="I9" s="12">
        <v>1</v>
      </c>
      <c r="J9" s="15" t="s">
        <v>352</v>
      </c>
      <c r="K9" s="15" t="s">
        <v>353</v>
      </c>
      <c r="L9" s="14"/>
      <c r="M9" s="15" t="s">
        <v>354</v>
      </c>
    </row>
    <row r="10" spans="1:13" ht="87.5">
      <c r="A10" s="12" t="s">
        <v>47</v>
      </c>
      <c r="B10" s="12" t="s">
        <v>223</v>
      </c>
      <c r="C10" s="12" t="s">
        <v>332</v>
      </c>
      <c r="D10" s="16">
        <v>46245</v>
      </c>
      <c r="E10" s="16">
        <v>46245</v>
      </c>
      <c r="F10" s="12" t="s">
        <v>355</v>
      </c>
      <c r="G10" s="12">
        <v>4</v>
      </c>
      <c r="H10" s="12">
        <v>10</v>
      </c>
      <c r="I10" s="12">
        <v>1</v>
      </c>
      <c r="J10" s="15" t="s">
        <v>356</v>
      </c>
      <c r="K10" s="15" t="s">
        <v>357</v>
      </c>
      <c r="L10" s="14"/>
      <c r="M10" s="15" t="s">
        <v>358</v>
      </c>
    </row>
    <row r="11" spans="1:13" ht="62.5">
      <c r="A11" s="12" t="s">
        <v>54</v>
      </c>
      <c r="B11" s="12" t="s">
        <v>221</v>
      </c>
      <c r="C11" s="12" t="s">
        <v>328</v>
      </c>
      <c r="D11" s="16">
        <v>46239</v>
      </c>
      <c r="E11" s="16">
        <v>46240</v>
      </c>
      <c r="F11" s="12" t="s">
        <v>341</v>
      </c>
      <c r="G11" s="12">
        <v>11</v>
      </c>
      <c r="H11" s="12">
        <v>14</v>
      </c>
      <c r="I11" s="12">
        <v>2</v>
      </c>
      <c r="J11" s="15" t="s">
        <v>359</v>
      </c>
      <c r="K11" s="15" t="s">
        <v>360</v>
      </c>
      <c r="L11" s="14"/>
      <c r="M11" s="15" t="s">
        <v>361</v>
      </c>
    </row>
    <row r="12" spans="1:13" ht="100">
      <c r="A12" s="12" t="s">
        <v>59</v>
      </c>
      <c r="B12" s="12" t="s">
        <v>229</v>
      </c>
      <c r="C12" s="12" t="s">
        <v>362</v>
      </c>
      <c r="D12" s="16">
        <v>46249</v>
      </c>
      <c r="E12" s="16">
        <v>46249</v>
      </c>
      <c r="F12" s="12" t="s">
        <v>355</v>
      </c>
      <c r="G12" s="12">
        <v>5</v>
      </c>
      <c r="H12" s="12">
        <v>10</v>
      </c>
      <c r="I12" s="12">
        <v>1</v>
      </c>
      <c r="J12" s="15" t="s">
        <v>363</v>
      </c>
      <c r="K12" s="15" t="s">
        <v>364</v>
      </c>
      <c r="L12" s="14"/>
      <c r="M12" s="15" t="s">
        <v>365</v>
      </c>
    </row>
    <row r="13" spans="1:13" ht="87.5">
      <c r="A13" s="12" t="s">
        <v>64</v>
      </c>
      <c r="B13" s="12" t="s">
        <v>225</v>
      </c>
      <c r="C13" s="12" t="s">
        <v>332</v>
      </c>
      <c r="D13" s="16">
        <v>46247</v>
      </c>
      <c r="E13" s="16">
        <v>46251</v>
      </c>
      <c r="F13" s="12" t="s">
        <v>355</v>
      </c>
      <c r="G13" s="12">
        <v>8</v>
      </c>
      <c r="H13" s="12">
        <v>18</v>
      </c>
      <c r="I13" s="12">
        <v>2</v>
      </c>
      <c r="J13" s="15" t="s">
        <v>366</v>
      </c>
      <c r="K13" s="15" t="s">
        <v>367</v>
      </c>
      <c r="L13" s="14"/>
      <c r="M13" s="15" t="s">
        <v>368</v>
      </c>
    </row>
    <row r="14" spans="1:13" ht="100">
      <c r="A14" s="12" t="s">
        <v>66</v>
      </c>
      <c r="B14" s="12" t="s">
        <v>232</v>
      </c>
      <c r="C14" s="12" t="s">
        <v>369</v>
      </c>
      <c r="D14" s="16">
        <v>46259</v>
      </c>
      <c r="E14" s="16">
        <v>46261</v>
      </c>
      <c r="F14" s="12" t="s">
        <v>355</v>
      </c>
      <c r="G14" s="12">
        <v>8</v>
      </c>
      <c r="H14" s="12">
        <v>16</v>
      </c>
      <c r="I14" s="12">
        <v>2</v>
      </c>
      <c r="J14" s="15" t="s">
        <v>370</v>
      </c>
      <c r="K14" s="15" t="s">
        <v>371</v>
      </c>
      <c r="L14" s="14"/>
      <c r="M14" s="15" t="s">
        <v>372</v>
      </c>
    </row>
    <row r="15" spans="1:13" ht="100">
      <c r="A15" s="12" t="s">
        <v>68</v>
      </c>
      <c r="B15" s="12" t="s">
        <v>234</v>
      </c>
      <c r="C15" s="12" t="s">
        <v>336</v>
      </c>
      <c r="D15" s="16">
        <v>46280</v>
      </c>
      <c r="E15" s="16">
        <v>46280</v>
      </c>
      <c r="F15" s="12" t="s">
        <v>355</v>
      </c>
      <c r="G15" s="12">
        <v>1</v>
      </c>
      <c r="H15" s="12">
        <v>12</v>
      </c>
      <c r="I15" s="12">
        <v>1</v>
      </c>
      <c r="J15" s="15" t="s">
        <v>373</v>
      </c>
      <c r="K15" s="15" t="s">
        <v>374</v>
      </c>
      <c r="L15" s="14"/>
      <c r="M15" s="15" t="s">
        <v>375</v>
      </c>
    </row>
    <row r="16" spans="1:13" ht="87.5">
      <c r="A16" s="12" t="s">
        <v>71</v>
      </c>
      <c r="B16" s="12" t="s">
        <v>236</v>
      </c>
      <c r="C16" s="12" t="s">
        <v>323</v>
      </c>
      <c r="D16" s="16">
        <v>46282</v>
      </c>
      <c r="E16" s="16">
        <v>46283</v>
      </c>
      <c r="F16" s="12" t="s">
        <v>355</v>
      </c>
      <c r="G16" s="12">
        <v>4</v>
      </c>
      <c r="H16" s="12">
        <v>13</v>
      </c>
      <c r="I16" s="12">
        <v>2</v>
      </c>
      <c r="J16" s="15" t="s">
        <v>376</v>
      </c>
      <c r="K16" s="15" t="s">
        <v>377</v>
      </c>
      <c r="L16" s="14"/>
      <c r="M16" s="15" t="s">
        <v>378</v>
      </c>
    </row>
    <row r="17" spans="1:13" ht="125">
      <c r="A17" s="12" t="s">
        <v>73</v>
      </c>
      <c r="B17" s="12" t="s">
        <v>239</v>
      </c>
      <c r="C17" s="12" t="s">
        <v>323</v>
      </c>
      <c r="D17" s="16">
        <v>46301</v>
      </c>
      <c r="E17" s="16">
        <v>46301</v>
      </c>
      <c r="F17" s="12" t="s">
        <v>355</v>
      </c>
      <c r="G17" s="12">
        <v>12</v>
      </c>
      <c r="H17" s="12">
        <v>22</v>
      </c>
      <c r="I17" s="14"/>
      <c r="J17" s="15" t="s">
        <v>379</v>
      </c>
      <c r="K17" s="15" t="s">
        <v>380</v>
      </c>
      <c r="L17" s="14"/>
      <c r="M17" s="15" t="s">
        <v>381</v>
      </c>
    </row>
    <row r="18" spans="1:13" ht="37.5">
      <c r="A18" s="14" t="s">
        <v>78</v>
      </c>
      <c r="B18" s="12" t="s">
        <v>241</v>
      </c>
      <c r="C18" s="12" t="s">
        <v>328</v>
      </c>
      <c r="D18" s="16">
        <v>46305</v>
      </c>
      <c r="E18" s="16">
        <v>46306</v>
      </c>
      <c r="F18" s="12" t="s">
        <v>355</v>
      </c>
      <c r="G18" s="12">
        <v>12</v>
      </c>
      <c r="H18" s="12">
        <v>31</v>
      </c>
      <c r="I18" s="14"/>
      <c r="J18" s="15" t="s">
        <v>382</v>
      </c>
      <c r="K18" s="14"/>
      <c r="L18" s="14"/>
      <c r="M18" s="15" t="s">
        <v>383</v>
      </c>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
  <sheetViews>
    <sheetView showGridLines="0" workbookViewId="0">
      <pane xSplit="1" ySplit="1" topLeftCell="B2" activePane="bottomRight" state="frozen"/>
      <selection pane="topRight"/>
      <selection pane="bottomLeft"/>
      <selection pane="bottomRight" activeCell="E7" sqref="E7"/>
    </sheetView>
  </sheetViews>
  <sheetFormatPr defaultRowHeight="14"/>
  <cols>
    <col min="1" max="3" width="18" customWidth="1"/>
    <col min="4" max="4" width="34" customWidth="1"/>
    <col min="5" max="6" width="18" customWidth="1"/>
    <col min="7" max="7" width="70" customWidth="1"/>
  </cols>
  <sheetData>
    <row r="1" spans="1:7" ht="40" customHeight="1">
      <c r="A1" s="5" t="s">
        <v>0</v>
      </c>
      <c r="B1" s="5" t="s">
        <v>1</v>
      </c>
      <c r="C1" s="8" t="s">
        <v>2</v>
      </c>
      <c r="D1" s="5" t="s">
        <v>3</v>
      </c>
      <c r="E1" s="8" t="s">
        <v>4</v>
      </c>
      <c r="F1" s="8" t="s">
        <v>5</v>
      </c>
      <c r="G1" s="5" t="s">
        <v>6</v>
      </c>
    </row>
    <row r="2" spans="1:7" ht="62" customHeight="1">
      <c r="A2" s="12" t="s">
        <v>7</v>
      </c>
      <c r="B2" s="12" t="s">
        <v>8</v>
      </c>
      <c r="C2" s="12">
        <v>1</v>
      </c>
      <c r="D2" s="12" t="s">
        <v>9</v>
      </c>
      <c r="E2" s="12"/>
      <c r="F2" s="12"/>
      <c r="G2" s="15" t="s">
        <v>10</v>
      </c>
    </row>
    <row r="3" spans="1:7" ht="62" customHeight="1">
      <c r="A3" s="12" t="s">
        <v>7</v>
      </c>
      <c r="B3" s="12" t="s">
        <v>11</v>
      </c>
      <c r="C3" s="12">
        <v>2</v>
      </c>
      <c r="D3" s="12" t="s">
        <v>12</v>
      </c>
      <c r="E3" s="12"/>
      <c r="F3" s="12"/>
      <c r="G3" s="15" t="s">
        <v>10</v>
      </c>
    </row>
    <row r="4" spans="1:7" ht="62" customHeight="1">
      <c r="A4" s="12" t="s">
        <v>7</v>
      </c>
      <c r="B4" s="12" t="s">
        <v>13</v>
      </c>
      <c r="C4" s="12">
        <v>3</v>
      </c>
      <c r="D4" s="12" t="s">
        <v>14</v>
      </c>
      <c r="E4" s="12"/>
      <c r="F4" s="12"/>
      <c r="G4" s="15" t="s">
        <v>10</v>
      </c>
    </row>
    <row r="5" spans="1:7" ht="62" customHeight="1">
      <c r="A5" s="12" t="s">
        <v>15</v>
      </c>
      <c r="B5" s="12" t="s">
        <v>8</v>
      </c>
      <c r="C5" s="12">
        <v>1</v>
      </c>
      <c r="D5" s="12" t="s">
        <v>16</v>
      </c>
      <c r="E5" s="12"/>
      <c r="F5" s="12"/>
      <c r="G5" s="15" t="s">
        <v>17</v>
      </c>
    </row>
    <row r="6" spans="1:7" ht="62" customHeight="1">
      <c r="A6" s="12" t="s">
        <v>15</v>
      </c>
      <c r="B6" s="12" t="s">
        <v>11</v>
      </c>
      <c r="C6" s="12">
        <v>2</v>
      </c>
      <c r="D6" s="12" t="s">
        <v>18</v>
      </c>
      <c r="E6" s="12"/>
      <c r="F6" s="12"/>
      <c r="G6" s="15" t="s">
        <v>17</v>
      </c>
    </row>
    <row r="7" spans="1:7" ht="62" customHeight="1">
      <c r="A7" s="12" t="s">
        <v>15</v>
      </c>
      <c r="B7" s="12" t="s">
        <v>19</v>
      </c>
      <c r="C7" s="12">
        <v>3</v>
      </c>
      <c r="D7" s="12" t="s">
        <v>20</v>
      </c>
      <c r="E7" s="12"/>
      <c r="F7" s="12"/>
      <c r="G7" s="15" t="s">
        <v>17</v>
      </c>
    </row>
    <row r="8" spans="1:7" ht="25">
      <c r="A8" s="12" t="s">
        <v>21</v>
      </c>
      <c r="B8" s="12" t="s">
        <v>8</v>
      </c>
      <c r="C8" s="12">
        <v>1</v>
      </c>
      <c r="D8" s="12" t="s">
        <v>22</v>
      </c>
      <c r="E8" s="12"/>
      <c r="F8" s="12"/>
      <c r="G8" s="15" t="s">
        <v>23</v>
      </c>
    </row>
    <row r="9" spans="1:7" ht="25">
      <c r="A9" s="12" t="s">
        <v>21</v>
      </c>
      <c r="B9" s="12" t="s">
        <v>11</v>
      </c>
      <c r="C9" s="12">
        <v>2</v>
      </c>
      <c r="D9" s="12" t="s">
        <v>24</v>
      </c>
      <c r="E9" s="12"/>
      <c r="F9" s="12"/>
      <c r="G9" s="15" t="s">
        <v>23</v>
      </c>
    </row>
    <row r="10" spans="1:7" ht="25">
      <c r="A10" s="12" t="s">
        <v>21</v>
      </c>
      <c r="B10" s="12" t="s">
        <v>25</v>
      </c>
      <c r="C10" s="12">
        <v>3</v>
      </c>
      <c r="D10" s="12" t="s">
        <v>26</v>
      </c>
      <c r="E10" s="12"/>
      <c r="F10" s="12"/>
      <c r="G10" s="15" t="s">
        <v>23</v>
      </c>
    </row>
    <row r="11" spans="1:7" ht="25">
      <c r="A11" s="12" t="s">
        <v>27</v>
      </c>
      <c r="B11" s="12" t="s">
        <v>11</v>
      </c>
      <c r="C11" s="12">
        <v>1</v>
      </c>
      <c r="D11" s="12" t="s">
        <v>16</v>
      </c>
      <c r="E11" s="12"/>
      <c r="F11" s="12"/>
      <c r="G11" s="15" t="s">
        <v>28</v>
      </c>
    </row>
    <row r="12" spans="1:7" ht="25">
      <c r="A12" s="12" t="s">
        <v>27</v>
      </c>
      <c r="B12" s="12" t="s">
        <v>19</v>
      </c>
      <c r="C12" s="12">
        <v>2</v>
      </c>
      <c r="D12" s="12" t="s">
        <v>16</v>
      </c>
      <c r="E12" s="12"/>
      <c r="F12" s="12"/>
      <c r="G12" s="15" t="s">
        <v>28</v>
      </c>
    </row>
    <row r="13" spans="1:7" ht="25">
      <c r="A13" s="12" t="s">
        <v>27</v>
      </c>
      <c r="B13" s="12" t="s">
        <v>8</v>
      </c>
      <c r="C13" s="12">
        <v>3</v>
      </c>
      <c r="D13" s="12" t="s">
        <v>29</v>
      </c>
      <c r="E13" s="12"/>
      <c r="F13" s="12"/>
      <c r="G13" s="15" t="s">
        <v>28</v>
      </c>
    </row>
    <row r="14" spans="1:7">
      <c r="A14" s="12" t="s">
        <v>30</v>
      </c>
      <c r="B14" s="12" t="s">
        <v>8</v>
      </c>
      <c r="C14" s="12">
        <v>1</v>
      </c>
      <c r="D14" s="12" t="s">
        <v>31</v>
      </c>
      <c r="E14" s="12"/>
      <c r="F14" s="12"/>
      <c r="G14" s="15" t="s">
        <v>32</v>
      </c>
    </row>
    <row r="15" spans="1:7">
      <c r="A15" s="12" t="s">
        <v>30</v>
      </c>
      <c r="B15" s="12" t="s">
        <v>11</v>
      </c>
      <c r="C15" s="12">
        <v>2</v>
      </c>
      <c r="D15" s="12" t="s">
        <v>33</v>
      </c>
      <c r="E15" s="12"/>
      <c r="F15" s="12"/>
      <c r="G15" s="15" t="s">
        <v>32</v>
      </c>
    </row>
    <row r="16" spans="1:7">
      <c r="A16" s="12" t="s">
        <v>30</v>
      </c>
      <c r="B16" s="12" t="s">
        <v>13</v>
      </c>
      <c r="C16" s="12">
        <v>3</v>
      </c>
      <c r="D16" s="12" t="s">
        <v>34</v>
      </c>
      <c r="E16" s="12"/>
      <c r="F16" s="12"/>
      <c r="G16" s="15" t="s">
        <v>32</v>
      </c>
    </row>
    <row r="17" spans="1:7" ht="25">
      <c r="A17" s="12" t="s">
        <v>35</v>
      </c>
      <c r="B17" s="12" t="s">
        <v>8</v>
      </c>
      <c r="C17" s="12">
        <v>1</v>
      </c>
      <c r="D17" s="12" t="s">
        <v>36</v>
      </c>
      <c r="E17" s="12"/>
      <c r="F17" s="12"/>
      <c r="G17" s="15" t="s">
        <v>37</v>
      </c>
    </row>
    <row r="18" spans="1:7" ht="25">
      <c r="A18" s="12" t="s">
        <v>35</v>
      </c>
      <c r="B18" s="12" t="s">
        <v>11</v>
      </c>
      <c r="C18" s="12">
        <v>2</v>
      </c>
      <c r="D18" s="12" t="s">
        <v>38</v>
      </c>
      <c r="E18" s="12"/>
      <c r="F18" s="12"/>
      <c r="G18" s="15" t="s">
        <v>37</v>
      </c>
    </row>
    <row r="19" spans="1:7" ht="25">
      <c r="A19" s="12" t="s">
        <v>35</v>
      </c>
      <c r="B19" s="12" t="s">
        <v>25</v>
      </c>
      <c r="C19" s="12">
        <v>3</v>
      </c>
      <c r="D19" s="12" t="s">
        <v>39</v>
      </c>
      <c r="E19" s="12"/>
      <c r="F19" s="12"/>
      <c r="G19" s="15" t="s">
        <v>37</v>
      </c>
    </row>
    <row r="20" spans="1:7">
      <c r="A20" s="12" t="s">
        <v>40</v>
      </c>
      <c r="B20" s="12" t="s">
        <v>8</v>
      </c>
      <c r="C20" s="12">
        <v>1</v>
      </c>
      <c r="D20" s="12" t="s">
        <v>41</v>
      </c>
      <c r="E20" s="12"/>
      <c r="F20" s="12"/>
      <c r="G20" s="15" t="s">
        <v>32</v>
      </c>
    </row>
    <row r="21" spans="1:7">
      <c r="A21" s="12" t="s">
        <v>40</v>
      </c>
      <c r="B21" s="12" t="s">
        <v>11</v>
      </c>
      <c r="C21" s="12">
        <v>2</v>
      </c>
      <c r="D21" s="12" t="s">
        <v>42</v>
      </c>
      <c r="E21" s="12"/>
      <c r="F21" s="12"/>
      <c r="G21" s="15" t="s">
        <v>32</v>
      </c>
    </row>
    <row r="22" spans="1:7">
      <c r="A22" s="12" t="s">
        <v>40</v>
      </c>
      <c r="B22" s="12" t="s">
        <v>19</v>
      </c>
      <c r="C22" s="12">
        <v>3</v>
      </c>
      <c r="D22" s="12" t="s">
        <v>42</v>
      </c>
      <c r="E22" s="12"/>
      <c r="F22" s="12"/>
      <c r="G22" s="15" t="s">
        <v>32</v>
      </c>
    </row>
    <row r="23" spans="1:7">
      <c r="A23" s="12" t="s">
        <v>43</v>
      </c>
      <c r="B23" s="12" t="s">
        <v>8</v>
      </c>
      <c r="C23" s="12">
        <v>1</v>
      </c>
      <c r="D23" s="12" t="s">
        <v>44</v>
      </c>
      <c r="E23" s="12"/>
      <c r="F23" s="12"/>
      <c r="G23" s="15" t="s">
        <v>32</v>
      </c>
    </row>
    <row r="24" spans="1:7">
      <c r="A24" s="12" t="s">
        <v>43</v>
      </c>
      <c r="B24" s="12" t="s">
        <v>11</v>
      </c>
      <c r="C24" s="12">
        <v>2</v>
      </c>
      <c r="D24" s="12" t="s">
        <v>45</v>
      </c>
      <c r="E24" s="12"/>
      <c r="F24" s="12"/>
      <c r="G24" s="15" t="s">
        <v>32</v>
      </c>
    </row>
    <row r="25" spans="1:7">
      <c r="A25" s="12" t="s">
        <v>43</v>
      </c>
      <c r="B25" s="12" t="s">
        <v>13</v>
      </c>
      <c r="C25" s="12">
        <v>3</v>
      </c>
      <c r="D25" s="12" t="s">
        <v>46</v>
      </c>
      <c r="E25" s="12"/>
      <c r="F25" s="12"/>
      <c r="G25" s="15" t="s">
        <v>32</v>
      </c>
    </row>
    <row r="26" spans="1:7" ht="25">
      <c r="A26" s="12" t="s">
        <v>47</v>
      </c>
      <c r="B26" s="14" t="s">
        <v>11</v>
      </c>
      <c r="C26" s="14"/>
      <c r="D26" s="12" t="s">
        <v>48</v>
      </c>
      <c r="E26" s="12">
        <v>10</v>
      </c>
      <c r="F26" s="12">
        <v>10</v>
      </c>
      <c r="G26" s="15" t="s">
        <v>49</v>
      </c>
    </row>
    <row r="27" spans="1:7">
      <c r="A27" s="12" t="s">
        <v>47</v>
      </c>
      <c r="B27" s="12" t="s">
        <v>8</v>
      </c>
      <c r="C27" s="14"/>
      <c r="D27" s="12" t="s">
        <v>50</v>
      </c>
      <c r="E27" s="12">
        <v>10</v>
      </c>
      <c r="F27" s="12">
        <v>10</v>
      </c>
      <c r="G27" s="15" t="s">
        <v>51</v>
      </c>
    </row>
    <row r="28" spans="1:7" ht="25">
      <c r="A28" s="12" t="s">
        <v>47</v>
      </c>
      <c r="B28" s="12" t="s">
        <v>25</v>
      </c>
      <c r="C28" s="14"/>
      <c r="D28" s="12" t="s">
        <v>24</v>
      </c>
      <c r="E28" s="12"/>
      <c r="F28" s="12"/>
      <c r="G28" s="15" t="s">
        <v>52</v>
      </c>
    </row>
    <row r="29" spans="1:7" ht="25">
      <c r="A29" s="12" t="s">
        <v>47</v>
      </c>
      <c r="B29" s="14" t="s">
        <v>19</v>
      </c>
      <c r="C29" s="14"/>
      <c r="D29" s="12" t="s">
        <v>26</v>
      </c>
      <c r="E29" s="12">
        <v>7</v>
      </c>
      <c r="F29" s="12">
        <v>10</v>
      </c>
      <c r="G29" s="15" t="s">
        <v>53</v>
      </c>
    </row>
    <row r="30" spans="1:7" ht="25">
      <c r="A30" s="12" t="s">
        <v>54</v>
      </c>
      <c r="B30" s="12" t="s">
        <v>8</v>
      </c>
      <c r="C30" s="12">
        <v>1</v>
      </c>
      <c r="D30" s="12" t="s">
        <v>55</v>
      </c>
      <c r="E30" s="12"/>
      <c r="F30" s="12"/>
      <c r="G30" s="15" t="s">
        <v>56</v>
      </c>
    </row>
    <row r="31" spans="1:7" ht="25">
      <c r="A31" s="12" t="s">
        <v>54</v>
      </c>
      <c r="B31" s="12" t="s">
        <v>11</v>
      </c>
      <c r="C31" s="12">
        <v>2</v>
      </c>
      <c r="D31" s="12" t="s">
        <v>57</v>
      </c>
      <c r="E31" s="12"/>
      <c r="F31" s="12"/>
      <c r="G31" s="15" t="s">
        <v>56</v>
      </c>
    </row>
    <row r="32" spans="1:7" ht="25">
      <c r="A32" s="12" t="s">
        <v>54</v>
      </c>
      <c r="B32" s="12" t="s">
        <v>19</v>
      </c>
      <c r="C32" s="12">
        <v>3</v>
      </c>
      <c r="D32" s="12" t="s">
        <v>58</v>
      </c>
      <c r="E32" s="12"/>
      <c r="F32" s="12"/>
      <c r="G32" s="15" t="s">
        <v>56</v>
      </c>
    </row>
    <row r="33" spans="1:7" ht="25">
      <c r="A33" s="12" t="s">
        <v>59</v>
      </c>
      <c r="B33" s="12" t="s">
        <v>11</v>
      </c>
      <c r="C33" s="14"/>
      <c r="D33" s="12" t="s">
        <v>60</v>
      </c>
      <c r="E33" s="12"/>
      <c r="F33" s="12"/>
      <c r="G33" s="15" t="s">
        <v>52</v>
      </c>
    </row>
    <row r="34" spans="1:7" ht="25">
      <c r="A34" s="12" t="s">
        <v>59</v>
      </c>
      <c r="B34" s="14" t="s">
        <v>13</v>
      </c>
      <c r="C34" s="14"/>
      <c r="D34" s="12" t="s">
        <v>50</v>
      </c>
      <c r="E34" s="12">
        <v>5</v>
      </c>
      <c r="F34" s="12">
        <v>10</v>
      </c>
      <c r="G34" s="15" t="s">
        <v>61</v>
      </c>
    </row>
    <row r="35" spans="1:7">
      <c r="A35" s="12" t="s">
        <v>59</v>
      </c>
      <c r="B35" s="12" t="s">
        <v>8</v>
      </c>
      <c r="C35" s="14"/>
      <c r="D35" s="12" t="s">
        <v>24</v>
      </c>
      <c r="E35" s="12">
        <v>10</v>
      </c>
      <c r="F35" s="12">
        <v>10</v>
      </c>
      <c r="G35" s="15" t="s">
        <v>51</v>
      </c>
    </row>
    <row r="36" spans="1:7" ht="25">
      <c r="A36" s="12" t="s">
        <v>59</v>
      </c>
      <c r="B36" s="14" t="s">
        <v>62</v>
      </c>
      <c r="C36" s="14"/>
      <c r="D36" s="12" t="s">
        <v>26</v>
      </c>
      <c r="E36" s="12">
        <v>5</v>
      </c>
      <c r="F36" s="12">
        <v>10</v>
      </c>
      <c r="G36" s="15" t="s">
        <v>63</v>
      </c>
    </row>
    <row r="37" spans="1:7">
      <c r="A37" s="12" t="s">
        <v>64</v>
      </c>
      <c r="B37" s="12" t="s">
        <v>8</v>
      </c>
      <c r="C37" s="14"/>
      <c r="D37" s="12" t="s">
        <v>65</v>
      </c>
      <c r="E37" s="12">
        <v>13</v>
      </c>
      <c r="F37" s="12">
        <v>18</v>
      </c>
      <c r="G37" s="15" t="s">
        <v>51</v>
      </c>
    </row>
    <row r="38" spans="1:7" ht="25">
      <c r="A38" s="12" t="s">
        <v>64</v>
      </c>
      <c r="B38" s="12" t="s">
        <v>25</v>
      </c>
      <c r="C38" s="14"/>
      <c r="D38" s="12" t="s">
        <v>50</v>
      </c>
      <c r="E38" s="12"/>
      <c r="F38" s="12"/>
      <c r="G38" s="15" t="s">
        <v>52</v>
      </c>
    </row>
    <row r="39" spans="1:7" ht="25">
      <c r="A39" s="12" t="s">
        <v>64</v>
      </c>
      <c r="B39" s="12" t="s">
        <v>13</v>
      </c>
      <c r="C39" s="14"/>
      <c r="D39" s="12" t="s">
        <v>24</v>
      </c>
      <c r="E39" s="12"/>
      <c r="F39" s="12"/>
      <c r="G39" s="15" t="s">
        <v>52</v>
      </c>
    </row>
    <row r="40" spans="1:7" ht="25">
      <c r="A40" s="12" t="s">
        <v>64</v>
      </c>
      <c r="B40" s="14" t="s">
        <v>19</v>
      </c>
      <c r="C40" s="14"/>
      <c r="D40" s="12" t="s">
        <v>26</v>
      </c>
      <c r="E40" s="12">
        <v>9</v>
      </c>
      <c r="F40" s="12">
        <v>18</v>
      </c>
      <c r="G40" s="15" t="s">
        <v>53</v>
      </c>
    </row>
    <row r="41" spans="1:7" ht="25">
      <c r="A41" s="12" t="s">
        <v>64</v>
      </c>
      <c r="B41" s="14" t="s">
        <v>11</v>
      </c>
      <c r="C41" s="14"/>
      <c r="D41" s="12" t="s">
        <v>26</v>
      </c>
      <c r="E41" s="12">
        <v>5</v>
      </c>
      <c r="F41" s="12">
        <v>18</v>
      </c>
      <c r="G41" s="15" t="s">
        <v>49</v>
      </c>
    </row>
    <row r="42" spans="1:7">
      <c r="A42" s="12" t="s">
        <v>66</v>
      </c>
      <c r="B42" s="12" t="s">
        <v>8</v>
      </c>
      <c r="C42" s="14"/>
      <c r="D42" s="12" t="s">
        <v>67</v>
      </c>
      <c r="E42" s="12">
        <v>11</v>
      </c>
      <c r="F42" s="12">
        <v>16</v>
      </c>
      <c r="G42" s="15" t="s">
        <v>51</v>
      </c>
    </row>
    <row r="43" spans="1:7" ht="25">
      <c r="A43" s="12" t="s">
        <v>66</v>
      </c>
      <c r="B43" s="14" t="s">
        <v>19</v>
      </c>
      <c r="C43" s="14"/>
      <c r="D43" s="12" t="s">
        <v>67</v>
      </c>
      <c r="E43" s="12">
        <v>11</v>
      </c>
      <c r="F43" s="12">
        <v>16</v>
      </c>
      <c r="G43" s="15" t="s">
        <v>53</v>
      </c>
    </row>
    <row r="44" spans="1:7" ht="25">
      <c r="A44" s="12" t="s">
        <v>66</v>
      </c>
      <c r="B44" s="14" t="s">
        <v>11</v>
      </c>
      <c r="C44" s="14"/>
      <c r="D44" s="12" t="s">
        <v>67</v>
      </c>
      <c r="E44" s="12">
        <v>9</v>
      </c>
      <c r="F44" s="12">
        <v>16</v>
      </c>
      <c r="G44" s="15" t="s">
        <v>49</v>
      </c>
    </row>
    <row r="45" spans="1:7">
      <c r="A45" s="12" t="s">
        <v>68</v>
      </c>
      <c r="B45" s="12" t="s">
        <v>8</v>
      </c>
      <c r="C45" s="14"/>
      <c r="D45" s="12" t="s">
        <v>69</v>
      </c>
      <c r="E45" s="12">
        <v>10</v>
      </c>
      <c r="F45" s="12">
        <v>12</v>
      </c>
      <c r="G45" s="15" t="s">
        <v>51</v>
      </c>
    </row>
    <row r="46" spans="1:7" ht="25">
      <c r="A46" s="12" t="s">
        <v>68</v>
      </c>
      <c r="B46" s="14" t="s">
        <v>11</v>
      </c>
      <c r="C46" s="14"/>
      <c r="D46" s="12" t="s">
        <v>50</v>
      </c>
      <c r="E46" s="12">
        <v>6</v>
      </c>
      <c r="F46" s="12">
        <v>12</v>
      </c>
      <c r="G46" s="15" t="s">
        <v>49</v>
      </c>
    </row>
    <row r="47" spans="1:7" ht="25">
      <c r="A47" s="12" t="s">
        <v>68</v>
      </c>
      <c r="B47" s="12" t="s">
        <v>70</v>
      </c>
      <c r="C47" s="14"/>
      <c r="D47" s="12" t="s">
        <v>24</v>
      </c>
      <c r="E47" s="12"/>
      <c r="F47" s="12"/>
      <c r="G47" s="15" t="s">
        <v>52</v>
      </c>
    </row>
    <row r="48" spans="1:7" ht="25">
      <c r="A48" s="12" t="s">
        <v>68</v>
      </c>
      <c r="B48" s="14" t="s">
        <v>62</v>
      </c>
      <c r="C48" s="14"/>
      <c r="D48" s="12" t="s">
        <v>26</v>
      </c>
      <c r="E48" s="12">
        <v>6</v>
      </c>
      <c r="F48" s="12">
        <v>12</v>
      </c>
      <c r="G48" s="15" t="s">
        <v>63</v>
      </c>
    </row>
    <row r="49" spans="1:7">
      <c r="A49" s="12" t="s">
        <v>71</v>
      </c>
      <c r="B49" s="12" t="s">
        <v>8</v>
      </c>
      <c r="C49" s="14"/>
      <c r="D49" s="12" t="s">
        <v>72</v>
      </c>
      <c r="E49" s="12">
        <v>12</v>
      </c>
      <c r="F49" s="12">
        <v>13</v>
      </c>
      <c r="G49" s="15" t="s">
        <v>51</v>
      </c>
    </row>
    <row r="50" spans="1:7" ht="25">
      <c r="A50" s="12" t="s">
        <v>71</v>
      </c>
      <c r="B50" s="14" t="s">
        <v>11</v>
      </c>
      <c r="C50" s="14"/>
      <c r="D50" s="12" t="s">
        <v>50</v>
      </c>
      <c r="E50" s="12">
        <v>10</v>
      </c>
      <c r="F50" s="12">
        <v>13</v>
      </c>
      <c r="G50" s="15" t="s">
        <v>49</v>
      </c>
    </row>
    <row r="51" spans="1:7" ht="25">
      <c r="A51" s="12" t="s">
        <v>71</v>
      </c>
      <c r="B51" s="14" t="s">
        <v>13</v>
      </c>
      <c r="C51" s="14"/>
      <c r="D51" s="12" t="s">
        <v>26</v>
      </c>
      <c r="E51" s="12">
        <v>8</v>
      </c>
      <c r="F51" s="12">
        <v>13</v>
      </c>
      <c r="G51" s="15" t="s">
        <v>61</v>
      </c>
    </row>
    <row r="52" spans="1:7" ht="25">
      <c r="A52" s="12" t="s">
        <v>73</v>
      </c>
      <c r="B52" s="12" t="s">
        <v>8</v>
      </c>
      <c r="C52" s="14"/>
      <c r="D52" s="12" t="s">
        <v>74</v>
      </c>
      <c r="E52" s="12">
        <v>21</v>
      </c>
      <c r="F52" s="12">
        <v>22</v>
      </c>
      <c r="G52" s="15" t="s">
        <v>75</v>
      </c>
    </row>
    <row r="53" spans="1:7" ht="37.5">
      <c r="A53" s="12" t="s">
        <v>73</v>
      </c>
      <c r="B53" s="12" t="s">
        <v>13</v>
      </c>
      <c r="C53" s="14"/>
      <c r="D53" s="12" t="s">
        <v>50</v>
      </c>
      <c r="E53" s="12">
        <v>15</v>
      </c>
      <c r="F53" s="12">
        <v>22</v>
      </c>
      <c r="G53" s="15" t="s">
        <v>76</v>
      </c>
    </row>
    <row r="54" spans="1:7" ht="37.5">
      <c r="A54" s="12" t="s">
        <v>73</v>
      </c>
      <c r="B54" s="12" t="s">
        <v>11</v>
      </c>
      <c r="C54" s="14"/>
      <c r="D54" s="12" t="s">
        <v>24</v>
      </c>
      <c r="E54" s="12">
        <v>14</v>
      </c>
      <c r="F54" s="12">
        <v>22</v>
      </c>
      <c r="G54" s="15" t="s">
        <v>77</v>
      </c>
    </row>
    <row r="55" spans="1:7" ht="37.5">
      <c r="A55" s="12" t="s">
        <v>78</v>
      </c>
      <c r="B55" s="12" t="s">
        <v>8</v>
      </c>
      <c r="C55" s="14"/>
      <c r="D55" s="12" t="s">
        <v>79</v>
      </c>
      <c r="E55" s="12">
        <v>25</v>
      </c>
      <c r="F55" s="12">
        <v>31</v>
      </c>
      <c r="G55" s="15" t="s">
        <v>80</v>
      </c>
    </row>
    <row r="56" spans="1:7" ht="50">
      <c r="A56" s="12" t="s">
        <v>78</v>
      </c>
      <c r="B56" s="14" t="s">
        <v>11</v>
      </c>
      <c r="C56" s="14"/>
      <c r="D56" s="12" t="s">
        <v>81</v>
      </c>
      <c r="E56" s="12">
        <v>17</v>
      </c>
      <c r="F56" s="12">
        <v>31</v>
      </c>
      <c r="G56" s="15" t="s">
        <v>82</v>
      </c>
    </row>
    <row r="57" spans="1:7" ht="50">
      <c r="A57" s="12" t="s">
        <v>78</v>
      </c>
      <c r="B57" s="12" t="s">
        <v>25</v>
      </c>
      <c r="C57" s="14"/>
      <c r="D57" s="12" t="s">
        <v>83</v>
      </c>
      <c r="E57" s="12"/>
      <c r="F57" s="12"/>
      <c r="G57" s="15" t="s">
        <v>84</v>
      </c>
    </row>
    <row r="58" spans="1:7" ht="50">
      <c r="A58" s="12" t="s">
        <v>78</v>
      </c>
      <c r="B58" s="14" t="s">
        <v>13</v>
      </c>
      <c r="C58" s="14"/>
      <c r="D58" s="12" t="s">
        <v>26</v>
      </c>
      <c r="E58" s="12">
        <v>18</v>
      </c>
      <c r="F58" s="12">
        <v>31</v>
      </c>
      <c r="G58" s="15" t="s">
        <v>85</v>
      </c>
    </row>
  </sheetData>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
  <sheetViews>
    <sheetView showGridLines="0" workbookViewId="0">
      <pane xSplit="1" ySplit="1" topLeftCell="B2" activePane="bottomRight" state="frozen"/>
      <selection pane="topRight"/>
      <selection pane="bottomLeft"/>
      <selection pane="bottomRight" activeCell="E2" sqref="E2"/>
    </sheetView>
  </sheetViews>
  <sheetFormatPr defaultRowHeight="14"/>
  <cols>
    <col min="1" max="6" width="18" customWidth="1"/>
    <col min="7" max="7" width="70" customWidth="1"/>
    <col min="8" max="8" width="18" customWidth="1"/>
    <col min="9" max="9" width="70" customWidth="1"/>
    <col min="10" max="10" width="19" customWidth="1"/>
    <col min="11" max="11" width="18" customWidth="1"/>
  </cols>
  <sheetData>
    <row r="1" spans="1:11" ht="40" customHeight="1">
      <c r="A1" s="5" t="s">
        <v>384</v>
      </c>
      <c r="B1" s="5" t="s">
        <v>172</v>
      </c>
      <c r="C1" s="5" t="s">
        <v>385</v>
      </c>
      <c r="D1" s="7" t="s">
        <v>386</v>
      </c>
      <c r="E1" s="5" t="s">
        <v>387</v>
      </c>
      <c r="F1" s="5" t="s">
        <v>388</v>
      </c>
      <c r="G1" s="5" t="s">
        <v>389</v>
      </c>
      <c r="H1" s="5" t="s">
        <v>390</v>
      </c>
      <c r="I1" s="5" t="s">
        <v>391</v>
      </c>
      <c r="J1" s="5" t="s">
        <v>392</v>
      </c>
      <c r="K1" s="7" t="s">
        <v>393</v>
      </c>
    </row>
    <row r="2" spans="1:11" ht="62" customHeight="1"/>
    <row r="3" spans="1:11" ht="62" customHeight="1"/>
    <row r="4" spans="1:11" ht="62" customHeight="1"/>
  </sheetData>
  <dataValidations count="3">
    <dataValidation type="list" sqref="E2:E1000" xr:uid="{00000000-0002-0000-0700-000000000000}">
      <formula1>"IDP,Host,Returnee,Other"</formula1>
    </dataValidation>
    <dataValidation type="list" sqref="F2:F1000" xr:uid="{00000000-0002-0000-0700-000001000000}">
      <formula1>"Proceed,Not proceeding,Pending"</formula1>
    </dataValidation>
    <dataValidation type="list" sqref="H2:H1000" xr:uid="{00000000-0002-0000-0700-000002000000}">
      <formula1>"TRUE,FALSE"</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82"/>
  <sheetViews>
    <sheetView showGridLines="0" workbookViewId="0">
      <pane xSplit="1" ySplit="1" topLeftCell="B2" activePane="bottomRight" state="frozen"/>
      <selection pane="topRight"/>
      <selection pane="bottomLeft"/>
      <selection pane="bottomRight" activeCell="B2" sqref="B2"/>
    </sheetView>
  </sheetViews>
  <sheetFormatPr defaultRowHeight="14"/>
  <cols>
    <col min="1" max="1" width="18" customWidth="1"/>
    <col min="2" max="2" width="9.08203125" bestFit="1" customWidth="1"/>
    <col min="3" max="3" width="6.9140625" bestFit="1" customWidth="1"/>
    <col min="4" max="4" width="5" bestFit="1" customWidth="1"/>
    <col min="5" max="5" width="9.83203125" bestFit="1" customWidth="1"/>
    <col min="6" max="6" width="9.1640625" bestFit="1" customWidth="1"/>
    <col min="7" max="7" width="19" customWidth="1"/>
    <col min="8" max="12" width="18" customWidth="1"/>
    <col min="13" max="13" width="70" customWidth="1"/>
  </cols>
  <sheetData>
    <row r="1" spans="1:13" ht="40" customHeight="1">
      <c r="A1" s="5" t="s">
        <v>394</v>
      </c>
      <c r="B1" s="5" t="s">
        <v>172</v>
      </c>
      <c r="C1" s="5" t="s">
        <v>141</v>
      </c>
      <c r="D1" s="5" t="s">
        <v>395</v>
      </c>
      <c r="E1" s="5" t="s">
        <v>396</v>
      </c>
      <c r="F1" s="7" t="s">
        <v>313</v>
      </c>
      <c r="G1" s="5" t="s">
        <v>397</v>
      </c>
      <c r="H1" s="8" t="s">
        <v>398</v>
      </c>
      <c r="I1" s="5" t="s">
        <v>399</v>
      </c>
      <c r="J1" s="5" t="s">
        <v>400</v>
      </c>
      <c r="K1" s="5" t="s">
        <v>401</v>
      </c>
      <c r="L1" s="5" t="s">
        <v>402</v>
      </c>
      <c r="M1" s="5" t="s">
        <v>403</v>
      </c>
    </row>
    <row r="2" spans="1:13" ht="62" customHeight="1">
      <c r="A2" s="12" t="s">
        <v>404</v>
      </c>
      <c r="B2" s="12" t="s">
        <v>213</v>
      </c>
      <c r="C2" s="12" t="s">
        <v>345</v>
      </c>
      <c r="D2" s="12" t="s">
        <v>405</v>
      </c>
      <c r="E2" s="12" t="s">
        <v>406</v>
      </c>
      <c r="F2" s="16">
        <v>46172</v>
      </c>
      <c r="G2" s="12" t="s">
        <v>200</v>
      </c>
      <c r="H2" s="12">
        <v>5</v>
      </c>
      <c r="I2" s="12" t="s">
        <v>407</v>
      </c>
      <c r="J2" s="12" t="s">
        <v>408</v>
      </c>
      <c r="K2" s="12" t="s">
        <v>409</v>
      </c>
      <c r="L2" s="12" t="s">
        <v>410</v>
      </c>
      <c r="M2" s="12"/>
    </row>
    <row r="3" spans="1:13" ht="62" customHeight="1">
      <c r="A3" s="12" t="s">
        <v>411</v>
      </c>
      <c r="B3" s="12" t="s">
        <v>207</v>
      </c>
      <c r="C3" s="12" t="s">
        <v>328</v>
      </c>
      <c r="D3" s="12" t="s">
        <v>412</v>
      </c>
      <c r="E3" s="12" t="s">
        <v>413</v>
      </c>
      <c r="F3" s="16">
        <v>46154</v>
      </c>
      <c r="G3" s="12" t="s">
        <v>200</v>
      </c>
      <c r="H3" s="12">
        <v>40</v>
      </c>
      <c r="I3" s="12" t="s">
        <v>414</v>
      </c>
      <c r="J3" s="12" t="s">
        <v>408</v>
      </c>
      <c r="K3" s="12" t="s">
        <v>409</v>
      </c>
      <c r="L3" s="12" t="s">
        <v>410</v>
      </c>
      <c r="M3" s="12"/>
    </row>
    <row r="4" spans="1:13" ht="62" customHeight="1">
      <c r="A4" s="12" t="s">
        <v>415</v>
      </c>
      <c r="B4" s="12" t="s">
        <v>213</v>
      </c>
      <c r="C4" s="12" t="s">
        <v>345</v>
      </c>
      <c r="D4" s="12" t="s">
        <v>412</v>
      </c>
      <c r="E4" s="12" t="s">
        <v>413</v>
      </c>
      <c r="F4" s="16">
        <v>46174</v>
      </c>
      <c r="G4" s="12" t="s">
        <v>200</v>
      </c>
      <c r="H4" s="12">
        <v>40</v>
      </c>
      <c r="I4" s="12" t="s">
        <v>414</v>
      </c>
      <c r="J4" s="12" t="s">
        <v>408</v>
      </c>
      <c r="K4" s="12" t="s">
        <v>409</v>
      </c>
      <c r="L4" s="12" t="s">
        <v>410</v>
      </c>
      <c r="M4" s="12"/>
    </row>
    <row r="5" spans="1:13" ht="62" customHeight="1">
      <c r="A5" s="12" t="s">
        <v>416</v>
      </c>
      <c r="B5" s="12" t="s">
        <v>207</v>
      </c>
      <c r="C5" s="12" t="s">
        <v>328</v>
      </c>
      <c r="D5" s="12" t="s">
        <v>412</v>
      </c>
      <c r="E5" s="12" t="s">
        <v>417</v>
      </c>
      <c r="F5" s="16">
        <v>46154</v>
      </c>
      <c r="G5" s="12" t="s">
        <v>200</v>
      </c>
      <c r="H5" s="12">
        <v>5</v>
      </c>
      <c r="I5" s="12" t="s">
        <v>418</v>
      </c>
      <c r="J5" s="12" t="s">
        <v>408</v>
      </c>
      <c r="K5" s="12" t="s">
        <v>409</v>
      </c>
      <c r="L5" s="12" t="s">
        <v>410</v>
      </c>
      <c r="M5" s="12"/>
    </row>
    <row r="6" spans="1:13" ht="62" customHeight="1">
      <c r="A6" s="12" t="s">
        <v>419</v>
      </c>
      <c r="B6" s="12" t="s">
        <v>213</v>
      </c>
      <c r="C6" s="12" t="s">
        <v>345</v>
      </c>
      <c r="D6" s="12" t="s">
        <v>412</v>
      </c>
      <c r="E6" s="12" t="s">
        <v>417</v>
      </c>
      <c r="F6" s="16">
        <v>46174</v>
      </c>
      <c r="G6" s="12" t="s">
        <v>200</v>
      </c>
      <c r="H6" s="12">
        <v>29</v>
      </c>
      <c r="I6" s="12" t="s">
        <v>418</v>
      </c>
      <c r="J6" s="12" t="s">
        <v>408</v>
      </c>
      <c r="K6" s="12" t="s">
        <v>409</v>
      </c>
      <c r="L6" s="12" t="s">
        <v>410</v>
      </c>
      <c r="M6" s="12"/>
    </row>
    <row r="7" spans="1:13">
      <c r="A7" s="12" t="s">
        <v>420</v>
      </c>
      <c r="B7" s="12" t="s">
        <v>213</v>
      </c>
      <c r="C7" s="12" t="s">
        <v>345</v>
      </c>
      <c r="D7" s="12" t="s">
        <v>405</v>
      </c>
      <c r="E7" s="12" t="s">
        <v>421</v>
      </c>
      <c r="F7" s="16">
        <v>46187</v>
      </c>
      <c r="G7" s="12" t="s">
        <v>200</v>
      </c>
      <c r="H7" s="12">
        <v>40</v>
      </c>
      <c r="I7" s="12" t="s">
        <v>422</v>
      </c>
      <c r="J7" s="12" t="s">
        <v>408</v>
      </c>
      <c r="K7" s="12" t="s">
        <v>409</v>
      </c>
      <c r="L7" s="12" t="s">
        <v>410</v>
      </c>
      <c r="M7" s="12"/>
    </row>
    <row r="8" spans="1:13">
      <c r="A8" s="12" t="s">
        <v>423</v>
      </c>
      <c r="B8" s="12" t="s">
        <v>213</v>
      </c>
      <c r="C8" s="12" t="s">
        <v>345</v>
      </c>
      <c r="D8" s="12" t="s">
        <v>405</v>
      </c>
      <c r="E8" s="12" t="s">
        <v>424</v>
      </c>
      <c r="F8" s="16">
        <v>46187</v>
      </c>
      <c r="G8" s="12" t="s">
        <v>200</v>
      </c>
      <c r="H8" s="12">
        <v>100</v>
      </c>
      <c r="I8" s="12" t="s">
        <v>425</v>
      </c>
      <c r="J8" s="12" t="s">
        <v>408</v>
      </c>
      <c r="K8" s="12" t="s">
        <v>409</v>
      </c>
      <c r="L8" s="12" t="s">
        <v>410</v>
      </c>
      <c r="M8" s="12"/>
    </row>
    <row r="9" spans="1:13">
      <c r="A9" s="12" t="s">
        <v>426</v>
      </c>
      <c r="B9" s="12" t="s">
        <v>207</v>
      </c>
      <c r="C9" s="12" t="s">
        <v>328</v>
      </c>
      <c r="D9" s="12" t="s">
        <v>412</v>
      </c>
      <c r="E9" s="12" t="s">
        <v>421</v>
      </c>
      <c r="F9" s="16">
        <v>46177</v>
      </c>
      <c r="G9" s="12" t="s">
        <v>200</v>
      </c>
      <c r="H9" s="12">
        <v>108</v>
      </c>
      <c r="I9" s="12" t="s">
        <v>422</v>
      </c>
      <c r="J9" s="12" t="s">
        <v>408</v>
      </c>
      <c r="K9" s="12" t="s">
        <v>409</v>
      </c>
      <c r="L9" s="12" t="s">
        <v>410</v>
      </c>
      <c r="M9" s="12"/>
    </row>
    <row r="10" spans="1:13">
      <c r="A10" s="12" t="s">
        <v>427</v>
      </c>
      <c r="B10" s="12" t="s">
        <v>207</v>
      </c>
      <c r="C10" s="12" t="s">
        <v>328</v>
      </c>
      <c r="D10" s="12" t="s">
        <v>412</v>
      </c>
      <c r="E10" s="12" t="s">
        <v>428</v>
      </c>
      <c r="F10" s="16">
        <v>46154</v>
      </c>
      <c r="G10" s="12" t="s">
        <v>200</v>
      </c>
      <c r="H10" s="12">
        <v>40</v>
      </c>
      <c r="I10" s="12" t="s">
        <v>414</v>
      </c>
      <c r="J10" s="12" t="s">
        <v>408</v>
      </c>
      <c r="K10" s="12" t="s">
        <v>409</v>
      </c>
      <c r="L10" s="12" t="s">
        <v>410</v>
      </c>
      <c r="M10" s="12"/>
    </row>
    <row r="11" spans="1:13">
      <c r="A11" s="12" t="s">
        <v>429</v>
      </c>
      <c r="B11" s="12" t="s">
        <v>213</v>
      </c>
      <c r="C11" s="12" t="s">
        <v>345</v>
      </c>
      <c r="D11" s="12" t="s">
        <v>412</v>
      </c>
      <c r="E11" s="12" t="s">
        <v>428</v>
      </c>
      <c r="F11" s="16">
        <v>46174</v>
      </c>
      <c r="G11" s="12" t="s">
        <v>200</v>
      </c>
      <c r="H11" s="12">
        <v>40</v>
      </c>
      <c r="I11" s="12" t="s">
        <v>414</v>
      </c>
      <c r="J11" s="12" t="s">
        <v>408</v>
      </c>
      <c r="K11" s="12" t="s">
        <v>409</v>
      </c>
      <c r="L11" s="12" t="s">
        <v>410</v>
      </c>
      <c r="M11" s="12"/>
    </row>
    <row r="12" spans="1:13">
      <c r="A12" s="12" t="s">
        <v>430</v>
      </c>
      <c r="B12" s="12" t="s">
        <v>207</v>
      </c>
      <c r="C12" s="12" t="s">
        <v>328</v>
      </c>
      <c r="D12" s="12" t="s">
        <v>412</v>
      </c>
      <c r="E12" s="12" t="s">
        <v>431</v>
      </c>
      <c r="F12" s="16">
        <v>46196</v>
      </c>
      <c r="G12" s="12" t="s">
        <v>200</v>
      </c>
      <c r="H12" s="12">
        <v>189</v>
      </c>
      <c r="I12" s="12" t="s">
        <v>422</v>
      </c>
      <c r="J12" s="12" t="s">
        <v>408</v>
      </c>
      <c r="K12" s="12" t="s">
        <v>409</v>
      </c>
      <c r="L12" s="12" t="s">
        <v>410</v>
      </c>
      <c r="M12" s="12"/>
    </row>
    <row r="13" spans="1:13">
      <c r="A13" s="12" t="s">
        <v>432</v>
      </c>
      <c r="B13" s="12" t="s">
        <v>213</v>
      </c>
      <c r="C13" s="12" t="s">
        <v>345</v>
      </c>
      <c r="D13" s="12" t="s">
        <v>412</v>
      </c>
      <c r="E13" s="12" t="s">
        <v>433</v>
      </c>
      <c r="F13" s="16">
        <v>46188</v>
      </c>
      <c r="G13" s="12" t="s">
        <v>200</v>
      </c>
      <c r="H13" s="12">
        <v>41</v>
      </c>
      <c r="I13" s="12" t="s">
        <v>434</v>
      </c>
      <c r="J13" s="12" t="s">
        <v>408</v>
      </c>
      <c r="K13" s="12" t="s">
        <v>409</v>
      </c>
      <c r="L13" s="12" t="s">
        <v>410</v>
      </c>
      <c r="M13" s="12"/>
    </row>
    <row r="14" spans="1:13">
      <c r="A14" s="12" t="s">
        <v>435</v>
      </c>
      <c r="B14" s="12" t="s">
        <v>207</v>
      </c>
      <c r="C14" s="12" t="s">
        <v>328</v>
      </c>
      <c r="D14" s="12" t="s">
        <v>412</v>
      </c>
      <c r="E14" s="12" t="s">
        <v>433</v>
      </c>
      <c r="F14" s="16">
        <v>46189</v>
      </c>
      <c r="G14" s="12" t="s">
        <v>200</v>
      </c>
      <c r="H14" s="12">
        <v>160</v>
      </c>
      <c r="I14" s="12" t="s">
        <v>434</v>
      </c>
      <c r="J14" s="12" t="s">
        <v>408</v>
      </c>
      <c r="K14" s="12" t="s">
        <v>409</v>
      </c>
      <c r="L14" s="12" t="s">
        <v>410</v>
      </c>
      <c r="M14" s="12"/>
    </row>
    <row r="15" spans="1:13">
      <c r="A15" s="12" t="s">
        <v>436</v>
      </c>
      <c r="B15" s="12" t="s">
        <v>207</v>
      </c>
      <c r="C15" s="12" t="s">
        <v>328</v>
      </c>
      <c r="D15" s="12" t="s">
        <v>412</v>
      </c>
      <c r="E15" s="12" t="s">
        <v>437</v>
      </c>
      <c r="F15" s="16">
        <v>46174</v>
      </c>
      <c r="G15" s="12" t="s">
        <v>200</v>
      </c>
      <c r="H15" s="12">
        <v>5</v>
      </c>
      <c r="I15" s="12" t="s">
        <v>246</v>
      </c>
      <c r="J15" s="12" t="s">
        <v>408</v>
      </c>
      <c r="K15" s="12" t="s">
        <v>409</v>
      </c>
      <c r="L15" s="12" t="s">
        <v>410</v>
      </c>
      <c r="M15" s="12"/>
    </row>
    <row r="16" spans="1:13">
      <c r="A16" s="12" t="s">
        <v>438</v>
      </c>
      <c r="B16" s="12" t="s">
        <v>232</v>
      </c>
      <c r="C16" s="12" t="s">
        <v>369</v>
      </c>
      <c r="D16" s="12" t="s">
        <v>405</v>
      </c>
      <c r="E16" s="12" t="s">
        <v>406</v>
      </c>
      <c r="F16" s="16">
        <v>46259</v>
      </c>
      <c r="G16" s="12" t="s">
        <v>200</v>
      </c>
      <c r="H16" s="12">
        <v>8</v>
      </c>
      <c r="I16" s="12" t="s">
        <v>407</v>
      </c>
      <c r="J16" s="12" t="s">
        <v>408</v>
      </c>
      <c r="K16" s="12" t="s">
        <v>409</v>
      </c>
      <c r="L16" s="14"/>
      <c r="M16" s="12"/>
    </row>
    <row r="17" spans="1:13">
      <c r="A17" s="12" t="s">
        <v>439</v>
      </c>
      <c r="B17" s="12" t="s">
        <v>207</v>
      </c>
      <c r="C17" s="12" t="s">
        <v>328</v>
      </c>
      <c r="D17" s="12" t="s">
        <v>412</v>
      </c>
      <c r="E17" s="12" t="s">
        <v>417</v>
      </c>
      <c r="F17" s="16">
        <v>46209</v>
      </c>
      <c r="G17" s="12" t="s">
        <v>200</v>
      </c>
      <c r="H17" s="12">
        <v>48</v>
      </c>
      <c r="I17" s="12" t="s">
        <v>418</v>
      </c>
      <c r="J17" s="12" t="s">
        <v>408</v>
      </c>
      <c r="K17" s="12" t="s">
        <v>409</v>
      </c>
      <c r="L17" s="12" t="s">
        <v>410</v>
      </c>
      <c r="M17" s="12"/>
    </row>
    <row r="18" spans="1:13">
      <c r="A18" s="12" t="s">
        <v>440</v>
      </c>
      <c r="B18" s="12" t="s">
        <v>207</v>
      </c>
      <c r="C18" s="12" t="s">
        <v>328</v>
      </c>
      <c r="D18" s="12" t="s">
        <v>412</v>
      </c>
      <c r="E18" s="12" t="s">
        <v>413</v>
      </c>
      <c r="F18" s="16">
        <v>46209</v>
      </c>
      <c r="G18" s="12" t="s">
        <v>200</v>
      </c>
      <c r="H18" s="12">
        <v>32</v>
      </c>
      <c r="I18" s="12" t="s">
        <v>414</v>
      </c>
      <c r="J18" s="12" t="s">
        <v>408</v>
      </c>
      <c r="K18" s="12" t="s">
        <v>409</v>
      </c>
      <c r="L18" s="12" t="s">
        <v>410</v>
      </c>
      <c r="M18" s="12"/>
    </row>
    <row r="19" spans="1:13">
      <c r="A19" s="12" t="s">
        <v>441</v>
      </c>
      <c r="B19" s="12" t="s">
        <v>207</v>
      </c>
      <c r="C19" s="12" t="s">
        <v>328</v>
      </c>
      <c r="D19" s="12" t="s">
        <v>412</v>
      </c>
      <c r="E19" s="12" t="s">
        <v>437</v>
      </c>
      <c r="F19" s="16">
        <v>46209</v>
      </c>
      <c r="G19" s="12" t="s">
        <v>200</v>
      </c>
      <c r="H19" s="12">
        <v>8</v>
      </c>
      <c r="I19" s="12" t="s">
        <v>246</v>
      </c>
      <c r="J19" s="12" t="s">
        <v>408</v>
      </c>
      <c r="K19" s="12" t="s">
        <v>409</v>
      </c>
      <c r="L19" s="12" t="s">
        <v>410</v>
      </c>
      <c r="M19" s="12"/>
    </row>
    <row r="20" spans="1:13">
      <c r="A20" s="12" t="s">
        <v>442</v>
      </c>
      <c r="B20" s="12" t="s">
        <v>207</v>
      </c>
      <c r="C20" s="12" t="s">
        <v>328</v>
      </c>
      <c r="D20" s="12" t="s">
        <v>412</v>
      </c>
      <c r="E20" s="12" t="s">
        <v>428</v>
      </c>
      <c r="F20" s="16">
        <v>46209</v>
      </c>
      <c r="G20" s="12" t="s">
        <v>200</v>
      </c>
      <c r="H20" s="12">
        <v>52</v>
      </c>
      <c r="I20" s="12" t="s">
        <v>414</v>
      </c>
      <c r="J20" s="12" t="s">
        <v>408</v>
      </c>
      <c r="K20" s="12" t="s">
        <v>409</v>
      </c>
      <c r="L20" s="12" t="s">
        <v>410</v>
      </c>
      <c r="M20" s="12"/>
    </row>
    <row r="21" spans="1:13">
      <c r="A21" s="12" t="s">
        <v>443</v>
      </c>
      <c r="B21" s="12" t="s">
        <v>207</v>
      </c>
      <c r="C21" s="12" t="s">
        <v>328</v>
      </c>
      <c r="D21" s="12" t="s">
        <v>412</v>
      </c>
      <c r="E21" s="12" t="s">
        <v>428</v>
      </c>
      <c r="F21" s="16">
        <v>46209</v>
      </c>
      <c r="G21" s="12" t="s">
        <v>200</v>
      </c>
      <c r="H21" s="12">
        <v>11</v>
      </c>
      <c r="I21" s="12" t="s">
        <v>414</v>
      </c>
      <c r="J21" s="12" t="s">
        <v>408</v>
      </c>
      <c r="K21" s="12" t="s">
        <v>409</v>
      </c>
      <c r="L21" s="12" t="s">
        <v>410</v>
      </c>
      <c r="M21" s="12"/>
    </row>
    <row r="22" spans="1:13">
      <c r="A22" s="12" t="s">
        <v>444</v>
      </c>
      <c r="B22" s="12" t="s">
        <v>207</v>
      </c>
      <c r="C22" s="12" t="s">
        <v>328</v>
      </c>
      <c r="D22" s="12" t="s">
        <v>412</v>
      </c>
      <c r="E22" s="12" t="s">
        <v>445</v>
      </c>
      <c r="F22" s="16">
        <v>46209</v>
      </c>
      <c r="G22" s="12" t="s">
        <v>200</v>
      </c>
      <c r="H22" s="12">
        <v>8</v>
      </c>
      <c r="I22" s="12" t="s">
        <v>414</v>
      </c>
      <c r="J22" s="12" t="s">
        <v>408</v>
      </c>
      <c r="K22" s="12" t="s">
        <v>409</v>
      </c>
      <c r="L22" s="12" t="s">
        <v>410</v>
      </c>
      <c r="M22" s="12"/>
    </row>
    <row r="23" spans="1:13">
      <c r="A23" s="12" t="s">
        <v>446</v>
      </c>
      <c r="B23" s="12" t="s">
        <v>213</v>
      </c>
      <c r="C23" s="12" t="s">
        <v>345</v>
      </c>
      <c r="D23" s="12" t="s">
        <v>412</v>
      </c>
      <c r="E23" s="12" t="s">
        <v>417</v>
      </c>
      <c r="F23" s="16">
        <v>46209</v>
      </c>
      <c r="G23" s="12" t="s">
        <v>200</v>
      </c>
      <c r="H23" s="12">
        <v>32</v>
      </c>
      <c r="I23" s="12" t="s">
        <v>418</v>
      </c>
      <c r="J23" s="12" t="s">
        <v>408</v>
      </c>
      <c r="K23" s="12" t="s">
        <v>409</v>
      </c>
      <c r="L23" s="12" t="s">
        <v>410</v>
      </c>
      <c r="M23" s="12"/>
    </row>
    <row r="24" spans="1:13">
      <c r="A24" s="12" t="s">
        <v>447</v>
      </c>
      <c r="B24" s="12" t="s">
        <v>213</v>
      </c>
      <c r="C24" s="12" t="s">
        <v>345</v>
      </c>
      <c r="D24" s="12" t="s">
        <v>412</v>
      </c>
      <c r="E24" s="12" t="s">
        <v>413</v>
      </c>
      <c r="F24" s="16">
        <v>46209</v>
      </c>
      <c r="G24" s="12" t="s">
        <v>200</v>
      </c>
      <c r="H24" s="12">
        <v>40</v>
      </c>
      <c r="I24" s="12" t="s">
        <v>414</v>
      </c>
      <c r="J24" s="12" t="s">
        <v>408</v>
      </c>
      <c r="K24" s="12" t="s">
        <v>409</v>
      </c>
      <c r="L24" s="12" t="s">
        <v>410</v>
      </c>
      <c r="M24" s="12"/>
    </row>
    <row r="25" spans="1:13">
      <c r="A25" s="12" t="s">
        <v>448</v>
      </c>
      <c r="B25" s="12" t="s">
        <v>213</v>
      </c>
      <c r="C25" s="12" t="s">
        <v>345</v>
      </c>
      <c r="D25" s="12" t="s">
        <v>412</v>
      </c>
      <c r="E25" s="12" t="s">
        <v>433</v>
      </c>
      <c r="F25" s="16">
        <v>46209</v>
      </c>
      <c r="G25" s="12" t="s">
        <v>200</v>
      </c>
      <c r="H25" s="12">
        <v>249</v>
      </c>
      <c r="I25" s="12" t="s">
        <v>434</v>
      </c>
      <c r="J25" s="12" t="s">
        <v>408</v>
      </c>
      <c r="K25" s="12" t="s">
        <v>409</v>
      </c>
      <c r="L25" s="12" t="s">
        <v>410</v>
      </c>
      <c r="M25" s="12"/>
    </row>
    <row r="26" spans="1:13">
      <c r="A26" s="12" t="s">
        <v>449</v>
      </c>
      <c r="B26" s="12" t="s">
        <v>213</v>
      </c>
      <c r="C26" s="12" t="s">
        <v>345</v>
      </c>
      <c r="D26" s="12" t="s">
        <v>412</v>
      </c>
      <c r="E26" s="12" t="s">
        <v>450</v>
      </c>
      <c r="F26" s="16">
        <v>46209</v>
      </c>
      <c r="G26" s="12" t="s">
        <v>200</v>
      </c>
      <c r="H26" s="12">
        <v>40</v>
      </c>
      <c r="I26" s="12" t="s">
        <v>414</v>
      </c>
      <c r="J26" s="12" t="s">
        <v>408</v>
      </c>
      <c r="K26" s="12" t="s">
        <v>409</v>
      </c>
      <c r="L26" s="12" t="s">
        <v>410</v>
      </c>
      <c r="M26" s="12"/>
    </row>
    <row r="27" spans="1:13">
      <c r="A27" s="12" t="s">
        <v>451</v>
      </c>
      <c r="B27" s="12" t="s">
        <v>213</v>
      </c>
      <c r="C27" s="12" t="s">
        <v>345</v>
      </c>
      <c r="D27" s="12" t="s">
        <v>405</v>
      </c>
      <c r="E27" s="12" t="s">
        <v>452</v>
      </c>
      <c r="F27" s="16">
        <v>46211</v>
      </c>
      <c r="G27" s="12" t="s">
        <v>200</v>
      </c>
      <c r="H27" s="12">
        <v>81</v>
      </c>
      <c r="I27" s="14" t="s">
        <v>453</v>
      </c>
      <c r="J27" s="12" t="s">
        <v>408</v>
      </c>
      <c r="K27" s="12" t="s">
        <v>409</v>
      </c>
      <c r="L27" s="14"/>
      <c r="M27" s="12"/>
    </row>
    <row r="28" spans="1:13">
      <c r="A28" s="12" t="s">
        <v>454</v>
      </c>
      <c r="B28" s="12" t="s">
        <v>207</v>
      </c>
      <c r="C28" s="12" t="s">
        <v>328</v>
      </c>
      <c r="D28" s="12" t="s">
        <v>412</v>
      </c>
      <c r="E28" s="12" t="s">
        <v>455</v>
      </c>
      <c r="F28" s="16">
        <v>46235</v>
      </c>
      <c r="G28" s="12" t="s">
        <v>200</v>
      </c>
      <c r="H28" s="12">
        <v>26</v>
      </c>
      <c r="I28" s="12" t="s">
        <v>246</v>
      </c>
      <c r="J28" s="12" t="s">
        <v>408</v>
      </c>
      <c r="K28" s="12" t="s">
        <v>409</v>
      </c>
      <c r="L28" s="12" t="s">
        <v>410</v>
      </c>
      <c r="M28" s="12"/>
    </row>
    <row r="29" spans="1:13">
      <c r="A29" s="12" t="s">
        <v>456</v>
      </c>
      <c r="B29" s="12" t="s">
        <v>221</v>
      </c>
      <c r="C29" s="12" t="s">
        <v>328</v>
      </c>
      <c r="D29" s="12" t="s">
        <v>405</v>
      </c>
      <c r="E29" s="12" t="s">
        <v>433</v>
      </c>
      <c r="F29" s="16">
        <v>46247</v>
      </c>
      <c r="G29" s="12" t="s">
        <v>200</v>
      </c>
      <c r="H29" s="12">
        <v>239</v>
      </c>
      <c r="I29" s="12" t="s">
        <v>434</v>
      </c>
      <c r="J29" s="12" t="s">
        <v>408</v>
      </c>
      <c r="K29" s="12" t="s">
        <v>409</v>
      </c>
      <c r="L29" s="12" t="s">
        <v>410</v>
      </c>
      <c r="M29" s="12"/>
    </row>
    <row r="30" spans="1:13">
      <c r="A30" s="12" t="s">
        <v>457</v>
      </c>
      <c r="B30" s="12" t="s">
        <v>207</v>
      </c>
      <c r="C30" s="12" t="s">
        <v>328</v>
      </c>
      <c r="D30" s="12" t="s">
        <v>412</v>
      </c>
      <c r="E30" s="12" t="s">
        <v>437</v>
      </c>
      <c r="F30" s="16">
        <v>46235</v>
      </c>
      <c r="G30" s="12" t="s">
        <v>200</v>
      </c>
      <c r="H30" s="12">
        <v>21</v>
      </c>
      <c r="I30" s="12" t="s">
        <v>246</v>
      </c>
      <c r="J30" s="12" t="s">
        <v>408</v>
      </c>
      <c r="K30" s="12" t="s">
        <v>409</v>
      </c>
      <c r="L30" s="12" t="s">
        <v>410</v>
      </c>
      <c r="M30" s="12"/>
    </row>
    <row r="31" spans="1:13">
      <c r="A31" s="12" t="s">
        <v>458</v>
      </c>
      <c r="B31" s="12" t="s">
        <v>207</v>
      </c>
      <c r="C31" s="12" t="s">
        <v>328</v>
      </c>
      <c r="D31" s="12" t="s">
        <v>412</v>
      </c>
      <c r="E31" s="12" t="s">
        <v>417</v>
      </c>
      <c r="F31" s="16">
        <v>46235</v>
      </c>
      <c r="G31" s="12" t="s">
        <v>200</v>
      </c>
      <c r="H31" s="12">
        <v>8</v>
      </c>
      <c r="I31" s="12" t="s">
        <v>418</v>
      </c>
      <c r="J31" s="12" t="s">
        <v>408</v>
      </c>
      <c r="K31" s="12" t="s">
        <v>409</v>
      </c>
      <c r="L31" s="12" t="s">
        <v>410</v>
      </c>
      <c r="M31" s="12"/>
    </row>
    <row r="32" spans="1:13">
      <c r="A32" s="12" t="s">
        <v>459</v>
      </c>
      <c r="B32" s="12" t="s">
        <v>207</v>
      </c>
      <c r="C32" s="12" t="s">
        <v>328</v>
      </c>
      <c r="D32" s="12" t="s">
        <v>412</v>
      </c>
      <c r="E32" s="12" t="s">
        <v>413</v>
      </c>
      <c r="F32" s="16">
        <v>46235</v>
      </c>
      <c r="G32" s="12" t="s">
        <v>200</v>
      </c>
      <c r="H32" s="12">
        <v>40</v>
      </c>
      <c r="I32" s="12" t="s">
        <v>414</v>
      </c>
      <c r="J32" s="12" t="s">
        <v>408</v>
      </c>
      <c r="K32" s="12" t="s">
        <v>409</v>
      </c>
      <c r="L32" s="12" t="s">
        <v>410</v>
      </c>
      <c r="M32" s="12"/>
    </row>
    <row r="33" spans="1:13">
      <c r="A33" s="12" t="s">
        <v>460</v>
      </c>
      <c r="B33" s="12" t="s">
        <v>223</v>
      </c>
      <c r="C33" s="12" t="s">
        <v>332</v>
      </c>
      <c r="D33" s="12" t="s">
        <v>405</v>
      </c>
      <c r="E33" s="12" t="s">
        <v>450</v>
      </c>
      <c r="F33" s="16">
        <v>46235</v>
      </c>
      <c r="G33" s="12" t="s">
        <v>200</v>
      </c>
      <c r="H33" s="12">
        <v>40</v>
      </c>
      <c r="I33" s="12" t="s">
        <v>414</v>
      </c>
      <c r="J33" s="12" t="s">
        <v>408</v>
      </c>
      <c r="K33" s="12" t="s">
        <v>409</v>
      </c>
      <c r="L33" s="12" t="s">
        <v>410</v>
      </c>
      <c r="M33" s="12"/>
    </row>
    <row r="34" spans="1:13">
      <c r="A34" s="12" t="s">
        <v>461</v>
      </c>
      <c r="B34" s="12" t="s">
        <v>213</v>
      </c>
      <c r="C34" s="12" t="s">
        <v>345</v>
      </c>
      <c r="D34" s="12" t="s">
        <v>412</v>
      </c>
      <c r="E34" s="12" t="s">
        <v>455</v>
      </c>
      <c r="F34" s="16">
        <v>46235</v>
      </c>
      <c r="G34" s="12" t="s">
        <v>200</v>
      </c>
      <c r="H34" s="12">
        <v>16</v>
      </c>
      <c r="I34" s="12" t="s">
        <v>246</v>
      </c>
      <c r="J34" s="12" t="s">
        <v>408</v>
      </c>
      <c r="K34" s="12" t="s">
        <v>409</v>
      </c>
      <c r="L34" s="12" t="s">
        <v>410</v>
      </c>
      <c r="M34" s="12"/>
    </row>
    <row r="35" spans="1:13">
      <c r="A35" s="12" t="s">
        <v>462</v>
      </c>
      <c r="B35" s="12" t="s">
        <v>213</v>
      </c>
      <c r="C35" s="12" t="s">
        <v>345</v>
      </c>
      <c r="D35" s="12" t="s">
        <v>412</v>
      </c>
      <c r="E35" s="12" t="s">
        <v>463</v>
      </c>
      <c r="F35" s="16">
        <v>46217</v>
      </c>
      <c r="G35" s="12" t="s">
        <v>200</v>
      </c>
      <c r="H35" s="12">
        <v>620</v>
      </c>
      <c r="I35" s="12" t="s">
        <v>422</v>
      </c>
      <c r="J35" s="12" t="s">
        <v>408</v>
      </c>
      <c r="K35" s="12" t="s">
        <v>409</v>
      </c>
      <c r="L35" s="12" t="s">
        <v>410</v>
      </c>
      <c r="M35" s="12"/>
    </row>
    <row r="36" spans="1:13">
      <c r="A36" s="12" t="s">
        <v>464</v>
      </c>
      <c r="B36" s="12" t="s">
        <v>221</v>
      </c>
      <c r="C36" s="12" t="s">
        <v>328</v>
      </c>
      <c r="D36" s="12" t="s">
        <v>405</v>
      </c>
      <c r="E36" s="12" t="s">
        <v>465</v>
      </c>
      <c r="F36" s="16">
        <v>46270</v>
      </c>
      <c r="G36" s="12" t="s">
        <v>200</v>
      </c>
      <c r="H36" s="12">
        <v>5</v>
      </c>
      <c r="I36" s="12" t="s">
        <v>422</v>
      </c>
      <c r="J36" s="12" t="s">
        <v>408</v>
      </c>
      <c r="K36" s="12" t="s">
        <v>409</v>
      </c>
      <c r="L36" s="12" t="s">
        <v>410</v>
      </c>
      <c r="M36" s="12"/>
    </row>
    <row r="37" spans="1:13">
      <c r="A37" s="12" t="s">
        <v>466</v>
      </c>
      <c r="B37" s="12" t="s">
        <v>221</v>
      </c>
      <c r="C37" s="12" t="s">
        <v>328</v>
      </c>
      <c r="D37" s="12" t="s">
        <v>405</v>
      </c>
      <c r="E37" s="12" t="s">
        <v>465</v>
      </c>
      <c r="F37" s="16">
        <v>46270</v>
      </c>
      <c r="G37" s="12" t="s">
        <v>200</v>
      </c>
      <c r="H37" s="12">
        <v>7</v>
      </c>
      <c r="I37" s="12" t="s">
        <v>422</v>
      </c>
      <c r="J37" s="12" t="s">
        <v>408</v>
      </c>
      <c r="K37" s="12" t="s">
        <v>409</v>
      </c>
      <c r="L37" s="12" t="s">
        <v>410</v>
      </c>
      <c r="M37" s="12"/>
    </row>
    <row r="38" spans="1:13">
      <c r="A38" s="12" t="s">
        <v>467</v>
      </c>
      <c r="B38" s="12" t="s">
        <v>221</v>
      </c>
      <c r="C38" s="12" t="s">
        <v>328</v>
      </c>
      <c r="D38" s="12" t="s">
        <v>405</v>
      </c>
      <c r="E38" s="12" t="s">
        <v>465</v>
      </c>
      <c r="F38" s="16">
        <v>46270</v>
      </c>
      <c r="G38" s="12" t="s">
        <v>200</v>
      </c>
      <c r="H38" s="12">
        <v>11</v>
      </c>
      <c r="I38" s="12" t="s">
        <v>422</v>
      </c>
      <c r="J38" s="12" t="s">
        <v>408</v>
      </c>
      <c r="K38" s="12" t="s">
        <v>409</v>
      </c>
      <c r="L38" s="12" t="s">
        <v>410</v>
      </c>
      <c r="M38" s="12"/>
    </row>
    <row r="39" spans="1:13">
      <c r="A39" s="12" t="s">
        <v>468</v>
      </c>
      <c r="B39" s="12" t="s">
        <v>221</v>
      </c>
      <c r="C39" s="12" t="s">
        <v>328</v>
      </c>
      <c r="D39" s="12" t="s">
        <v>405</v>
      </c>
      <c r="E39" s="12" t="s">
        <v>463</v>
      </c>
      <c r="F39" s="16">
        <v>46290</v>
      </c>
      <c r="G39" s="12" t="s">
        <v>200</v>
      </c>
      <c r="H39" s="12">
        <v>244</v>
      </c>
      <c r="I39" s="12" t="s">
        <v>422</v>
      </c>
      <c r="J39" s="12" t="s">
        <v>408</v>
      </c>
      <c r="K39" s="12" t="s">
        <v>409</v>
      </c>
      <c r="L39" s="12" t="s">
        <v>410</v>
      </c>
      <c r="M39" s="12"/>
    </row>
    <row r="40" spans="1:13">
      <c r="A40" s="12" t="s">
        <v>469</v>
      </c>
      <c r="B40" s="12" t="s">
        <v>221</v>
      </c>
      <c r="C40" s="12" t="s">
        <v>328</v>
      </c>
      <c r="D40" s="12" t="s">
        <v>405</v>
      </c>
      <c r="E40" s="12" t="s">
        <v>463</v>
      </c>
      <c r="F40" s="16">
        <v>46290</v>
      </c>
      <c r="G40" s="12" t="s">
        <v>200</v>
      </c>
      <c r="H40" s="12">
        <v>100</v>
      </c>
      <c r="I40" s="12" t="s">
        <v>422</v>
      </c>
      <c r="J40" s="12" t="s">
        <v>408</v>
      </c>
      <c r="K40" s="12" t="s">
        <v>409</v>
      </c>
      <c r="L40" s="12" t="s">
        <v>410</v>
      </c>
      <c r="M40" s="12"/>
    </row>
    <row r="41" spans="1:13">
      <c r="A41" s="12" t="s">
        <v>470</v>
      </c>
      <c r="B41" s="12" t="s">
        <v>221</v>
      </c>
      <c r="C41" s="12" t="s">
        <v>328</v>
      </c>
      <c r="D41" s="12" t="s">
        <v>405</v>
      </c>
      <c r="E41" s="12" t="s">
        <v>463</v>
      </c>
      <c r="F41" s="16">
        <v>46290</v>
      </c>
      <c r="G41" s="12" t="s">
        <v>200</v>
      </c>
      <c r="H41" s="12">
        <v>383</v>
      </c>
      <c r="I41" s="12" t="s">
        <v>422</v>
      </c>
      <c r="J41" s="12" t="s">
        <v>408</v>
      </c>
      <c r="K41" s="12" t="s">
        <v>409</v>
      </c>
      <c r="L41" s="12" t="s">
        <v>410</v>
      </c>
      <c r="M41" s="12"/>
    </row>
    <row r="42" spans="1:13">
      <c r="A42" s="12" t="s">
        <v>471</v>
      </c>
      <c r="B42" s="12" t="s">
        <v>221</v>
      </c>
      <c r="C42" s="12" t="s">
        <v>328</v>
      </c>
      <c r="D42" s="12" t="s">
        <v>405</v>
      </c>
      <c r="E42" s="12" t="s">
        <v>433</v>
      </c>
      <c r="F42" s="16">
        <v>46281</v>
      </c>
      <c r="G42" s="12" t="s">
        <v>200</v>
      </c>
      <c r="H42" s="12">
        <v>116</v>
      </c>
      <c r="I42" s="12" t="s">
        <v>434</v>
      </c>
      <c r="J42" s="12" t="s">
        <v>408</v>
      </c>
      <c r="K42" s="12" t="s">
        <v>409</v>
      </c>
      <c r="L42" s="12" t="s">
        <v>410</v>
      </c>
      <c r="M42" s="12"/>
    </row>
    <row r="43" spans="1:13">
      <c r="A43" s="12" t="s">
        <v>472</v>
      </c>
      <c r="B43" s="12" t="s">
        <v>221</v>
      </c>
      <c r="C43" s="12" t="s">
        <v>328</v>
      </c>
      <c r="D43" s="12" t="s">
        <v>405</v>
      </c>
      <c r="E43" s="12" t="s">
        <v>433</v>
      </c>
      <c r="F43" s="16">
        <v>46281</v>
      </c>
      <c r="G43" s="12" t="s">
        <v>200</v>
      </c>
      <c r="H43" s="12">
        <v>240</v>
      </c>
      <c r="I43" s="12" t="s">
        <v>434</v>
      </c>
      <c r="J43" s="12" t="s">
        <v>408</v>
      </c>
      <c r="K43" s="12" t="s">
        <v>409</v>
      </c>
      <c r="L43" s="12" t="s">
        <v>410</v>
      </c>
      <c r="M43" s="12"/>
    </row>
    <row r="44" spans="1:13">
      <c r="A44" s="12" t="s">
        <v>473</v>
      </c>
      <c r="B44" s="12" t="s">
        <v>221</v>
      </c>
      <c r="C44" s="12" t="s">
        <v>328</v>
      </c>
      <c r="D44" s="12" t="s">
        <v>405</v>
      </c>
      <c r="E44" s="12" t="s">
        <v>433</v>
      </c>
      <c r="F44" s="16">
        <v>46281</v>
      </c>
      <c r="G44" s="12" t="s">
        <v>200</v>
      </c>
      <c r="H44" s="12">
        <v>100</v>
      </c>
      <c r="I44" s="12" t="s">
        <v>434</v>
      </c>
      <c r="J44" s="12" t="s">
        <v>408</v>
      </c>
      <c r="K44" s="12" t="s">
        <v>409</v>
      </c>
      <c r="L44" s="12" t="s">
        <v>410</v>
      </c>
      <c r="M44" s="12"/>
    </row>
    <row r="45" spans="1:13">
      <c r="A45" s="12" t="s">
        <v>474</v>
      </c>
      <c r="B45" s="12" t="s">
        <v>221</v>
      </c>
      <c r="C45" s="12" t="s">
        <v>328</v>
      </c>
      <c r="D45" s="12" t="s">
        <v>405</v>
      </c>
      <c r="E45" s="12" t="s">
        <v>421</v>
      </c>
      <c r="F45" s="16">
        <v>46295</v>
      </c>
      <c r="G45" s="12" t="s">
        <v>200</v>
      </c>
      <c r="H45" s="12">
        <v>15</v>
      </c>
      <c r="I45" s="12" t="s">
        <v>422</v>
      </c>
      <c r="J45" s="12" t="s">
        <v>408</v>
      </c>
      <c r="K45" s="12" t="s">
        <v>409</v>
      </c>
      <c r="L45" s="12" t="s">
        <v>410</v>
      </c>
      <c r="M45" s="12"/>
    </row>
    <row r="46" spans="1:13">
      <c r="A46" s="12" t="s">
        <v>475</v>
      </c>
      <c r="B46" s="12" t="s">
        <v>221</v>
      </c>
      <c r="C46" s="12" t="s">
        <v>328</v>
      </c>
      <c r="D46" s="12" t="s">
        <v>405</v>
      </c>
      <c r="E46" s="12" t="s">
        <v>421</v>
      </c>
      <c r="F46" s="16">
        <v>46295</v>
      </c>
      <c r="G46" s="12" t="s">
        <v>200</v>
      </c>
      <c r="H46" s="12">
        <v>15</v>
      </c>
      <c r="I46" s="12" t="s">
        <v>422</v>
      </c>
      <c r="J46" s="12" t="s">
        <v>408</v>
      </c>
      <c r="K46" s="12" t="s">
        <v>409</v>
      </c>
      <c r="L46" s="12" t="s">
        <v>410</v>
      </c>
      <c r="M46" s="12"/>
    </row>
    <row r="47" spans="1:13">
      <c r="A47" s="12" t="s">
        <v>476</v>
      </c>
      <c r="B47" s="12" t="s">
        <v>221</v>
      </c>
      <c r="C47" s="12" t="s">
        <v>328</v>
      </c>
      <c r="D47" s="12" t="s">
        <v>405</v>
      </c>
      <c r="E47" s="12" t="s">
        <v>417</v>
      </c>
      <c r="F47" s="16">
        <v>46270</v>
      </c>
      <c r="G47" s="12" t="s">
        <v>200</v>
      </c>
      <c r="H47" s="12">
        <v>52</v>
      </c>
      <c r="I47" s="12" t="s">
        <v>418</v>
      </c>
      <c r="J47" s="12" t="s">
        <v>408</v>
      </c>
      <c r="K47" s="12" t="s">
        <v>409</v>
      </c>
      <c r="L47" s="12" t="s">
        <v>410</v>
      </c>
      <c r="M47" s="12"/>
    </row>
    <row r="48" spans="1:13">
      <c r="A48" s="12" t="s">
        <v>477</v>
      </c>
      <c r="B48" s="12" t="s">
        <v>234</v>
      </c>
      <c r="C48" s="12" t="s">
        <v>336</v>
      </c>
      <c r="D48" s="12" t="s">
        <v>405</v>
      </c>
      <c r="E48" s="12" t="s">
        <v>478</v>
      </c>
      <c r="F48" s="16">
        <v>46280</v>
      </c>
      <c r="G48" s="12" t="s">
        <v>200</v>
      </c>
      <c r="H48" s="12">
        <v>446</v>
      </c>
      <c r="I48" s="12" t="s">
        <v>479</v>
      </c>
      <c r="J48" s="12" t="s">
        <v>408</v>
      </c>
      <c r="K48" s="12" t="s">
        <v>409</v>
      </c>
      <c r="L48" s="12" t="s">
        <v>410</v>
      </c>
      <c r="M48" s="12"/>
    </row>
    <row r="49" spans="1:13">
      <c r="A49" s="12" t="s">
        <v>480</v>
      </c>
      <c r="B49" s="12" t="s">
        <v>234</v>
      </c>
      <c r="C49" s="12" t="s">
        <v>336</v>
      </c>
      <c r="D49" s="12" t="s">
        <v>405</v>
      </c>
      <c r="E49" s="12" t="s">
        <v>481</v>
      </c>
      <c r="F49" s="16">
        <v>46280</v>
      </c>
      <c r="G49" s="12" t="s">
        <v>200</v>
      </c>
      <c r="H49" s="12">
        <v>6</v>
      </c>
      <c r="I49" s="12" t="s">
        <v>414</v>
      </c>
      <c r="J49" s="12" t="s">
        <v>408</v>
      </c>
      <c r="K49" s="12" t="s">
        <v>409</v>
      </c>
      <c r="L49" s="12" t="s">
        <v>410</v>
      </c>
      <c r="M49" s="12"/>
    </row>
    <row r="50" spans="1:13">
      <c r="A50" s="12" t="s">
        <v>482</v>
      </c>
      <c r="B50" s="12" t="s">
        <v>234</v>
      </c>
      <c r="C50" s="12" t="s">
        <v>336</v>
      </c>
      <c r="D50" s="12" t="s">
        <v>405</v>
      </c>
      <c r="E50" s="12" t="s">
        <v>421</v>
      </c>
      <c r="F50" s="16">
        <v>46279</v>
      </c>
      <c r="G50" s="12" t="s">
        <v>200</v>
      </c>
      <c r="H50" s="12">
        <v>13</v>
      </c>
      <c r="I50" s="12" t="s">
        <v>422</v>
      </c>
      <c r="J50" s="12" t="s">
        <v>408</v>
      </c>
      <c r="K50" s="12" t="s">
        <v>409</v>
      </c>
      <c r="L50" s="12" t="s">
        <v>410</v>
      </c>
      <c r="M50" s="12"/>
    </row>
    <row r="51" spans="1:13">
      <c r="A51" s="12" t="s">
        <v>483</v>
      </c>
      <c r="B51" s="12" t="s">
        <v>232</v>
      </c>
      <c r="C51" s="12" t="s">
        <v>369</v>
      </c>
      <c r="D51" s="12" t="s">
        <v>405</v>
      </c>
      <c r="E51" s="12" t="s">
        <v>478</v>
      </c>
      <c r="F51" s="16">
        <v>46270</v>
      </c>
      <c r="G51" s="12" t="s">
        <v>200</v>
      </c>
      <c r="H51" s="12">
        <v>105</v>
      </c>
      <c r="I51" s="12" t="s">
        <v>479</v>
      </c>
      <c r="J51" s="12" t="s">
        <v>408</v>
      </c>
      <c r="K51" s="12" t="s">
        <v>409</v>
      </c>
      <c r="L51" s="12" t="s">
        <v>410</v>
      </c>
      <c r="M51" s="12"/>
    </row>
    <row r="52" spans="1:13">
      <c r="A52" s="12" t="s">
        <v>484</v>
      </c>
      <c r="B52" s="12" t="s">
        <v>232</v>
      </c>
      <c r="C52" s="12" t="s">
        <v>369</v>
      </c>
      <c r="D52" s="12" t="s">
        <v>405</v>
      </c>
      <c r="E52" s="12" t="s">
        <v>478</v>
      </c>
      <c r="F52" s="16">
        <v>46270</v>
      </c>
      <c r="G52" s="12" t="s">
        <v>200</v>
      </c>
      <c r="H52" s="12">
        <v>122</v>
      </c>
      <c r="I52" s="12" t="s">
        <v>479</v>
      </c>
      <c r="J52" s="12" t="s">
        <v>408</v>
      </c>
      <c r="K52" s="12" t="s">
        <v>409</v>
      </c>
      <c r="L52" s="12" t="s">
        <v>410</v>
      </c>
      <c r="M52" s="12"/>
    </row>
    <row r="53" spans="1:13">
      <c r="A53" s="12" t="s">
        <v>485</v>
      </c>
      <c r="B53" s="12" t="s">
        <v>232</v>
      </c>
      <c r="C53" s="12" t="s">
        <v>369</v>
      </c>
      <c r="D53" s="12" t="s">
        <v>405</v>
      </c>
      <c r="E53" s="12" t="s">
        <v>433</v>
      </c>
      <c r="F53" s="16">
        <v>46281</v>
      </c>
      <c r="G53" s="12" t="s">
        <v>200</v>
      </c>
      <c r="H53" s="12">
        <v>105</v>
      </c>
      <c r="I53" s="12" t="s">
        <v>434</v>
      </c>
      <c r="J53" s="12" t="s">
        <v>408</v>
      </c>
      <c r="K53" s="12" t="s">
        <v>409</v>
      </c>
      <c r="L53" s="12" t="s">
        <v>410</v>
      </c>
      <c r="M53" s="12"/>
    </row>
    <row r="54" spans="1:13">
      <c r="A54" s="12" t="s">
        <v>486</v>
      </c>
      <c r="B54" s="12" t="s">
        <v>232</v>
      </c>
      <c r="C54" s="12" t="s">
        <v>369</v>
      </c>
      <c r="D54" s="12" t="s">
        <v>405</v>
      </c>
      <c r="E54" s="12" t="s">
        <v>433</v>
      </c>
      <c r="F54" s="16">
        <v>46281</v>
      </c>
      <c r="G54" s="12" t="s">
        <v>200</v>
      </c>
      <c r="H54" s="12">
        <v>119</v>
      </c>
      <c r="I54" s="12" t="s">
        <v>434</v>
      </c>
      <c r="J54" s="12" t="s">
        <v>408</v>
      </c>
      <c r="K54" s="12" t="s">
        <v>409</v>
      </c>
      <c r="L54" s="12" t="s">
        <v>410</v>
      </c>
      <c r="M54" s="12"/>
    </row>
    <row r="55" spans="1:13">
      <c r="A55" s="12" t="s">
        <v>487</v>
      </c>
      <c r="B55" s="12" t="s">
        <v>232</v>
      </c>
      <c r="C55" s="12" t="s">
        <v>369</v>
      </c>
      <c r="D55" s="12" t="s">
        <v>405</v>
      </c>
      <c r="E55" s="12" t="s">
        <v>481</v>
      </c>
      <c r="F55" s="16">
        <v>46270</v>
      </c>
      <c r="G55" s="12" t="s">
        <v>200</v>
      </c>
      <c r="H55" s="12">
        <v>13</v>
      </c>
      <c r="I55" s="12" t="s">
        <v>414</v>
      </c>
      <c r="J55" s="12" t="s">
        <v>408</v>
      </c>
      <c r="K55" s="12" t="s">
        <v>409</v>
      </c>
      <c r="L55" s="12" t="s">
        <v>410</v>
      </c>
      <c r="M55" s="12"/>
    </row>
    <row r="56" spans="1:13">
      <c r="A56" s="12" t="s">
        <v>488</v>
      </c>
      <c r="B56" s="12" t="s">
        <v>232</v>
      </c>
      <c r="C56" s="12" t="s">
        <v>369</v>
      </c>
      <c r="D56" s="12" t="s">
        <v>405</v>
      </c>
      <c r="E56" s="12" t="s">
        <v>481</v>
      </c>
      <c r="F56" s="16">
        <v>46270</v>
      </c>
      <c r="G56" s="12" t="s">
        <v>200</v>
      </c>
      <c r="H56" s="12">
        <v>7</v>
      </c>
      <c r="I56" s="12" t="s">
        <v>414</v>
      </c>
      <c r="J56" s="12" t="s">
        <v>408</v>
      </c>
      <c r="K56" s="12" t="s">
        <v>409</v>
      </c>
      <c r="L56" s="12" t="s">
        <v>410</v>
      </c>
      <c r="M56" s="12"/>
    </row>
    <row r="57" spans="1:13">
      <c r="A57" s="12" t="s">
        <v>489</v>
      </c>
      <c r="B57" s="12" t="s">
        <v>232</v>
      </c>
      <c r="C57" s="12" t="s">
        <v>369</v>
      </c>
      <c r="D57" s="12" t="s">
        <v>405</v>
      </c>
      <c r="E57" s="12" t="s">
        <v>428</v>
      </c>
      <c r="F57" s="16">
        <v>46270</v>
      </c>
      <c r="G57" s="12" t="s">
        <v>200</v>
      </c>
      <c r="H57" s="12">
        <v>40</v>
      </c>
      <c r="I57" s="12" t="s">
        <v>414</v>
      </c>
      <c r="J57" s="12" t="s">
        <v>408</v>
      </c>
      <c r="K57" s="12" t="s">
        <v>409</v>
      </c>
      <c r="L57" s="12" t="s">
        <v>410</v>
      </c>
      <c r="M57" s="12"/>
    </row>
    <row r="58" spans="1:13">
      <c r="A58" s="12" t="s">
        <v>490</v>
      </c>
      <c r="B58" s="12" t="s">
        <v>232</v>
      </c>
      <c r="C58" s="12" t="s">
        <v>369</v>
      </c>
      <c r="D58" s="12" t="s">
        <v>405</v>
      </c>
      <c r="E58" s="12" t="s">
        <v>428</v>
      </c>
      <c r="F58" s="16">
        <v>46270</v>
      </c>
      <c r="G58" s="12" t="s">
        <v>200</v>
      </c>
      <c r="H58" s="12">
        <v>40</v>
      </c>
      <c r="I58" s="12" t="s">
        <v>414</v>
      </c>
      <c r="J58" s="12" t="s">
        <v>408</v>
      </c>
      <c r="K58" s="12" t="s">
        <v>409</v>
      </c>
      <c r="L58" s="12" t="s">
        <v>410</v>
      </c>
      <c r="M58" s="12"/>
    </row>
    <row r="59" spans="1:13">
      <c r="A59" s="12" t="s">
        <v>491</v>
      </c>
      <c r="B59" s="12" t="s">
        <v>232</v>
      </c>
      <c r="C59" s="12" t="s">
        <v>369</v>
      </c>
      <c r="D59" s="12" t="s">
        <v>405</v>
      </c>
      <c r="E59" s="12" t="s">
        <v>437</v>
      </c>
      <c r="F59" s="16">
        <v>46270</v>
      </c>
      <c r="G59" s="12" t="s">
        <v>200</v>
      </c>
      <c r="H59" s="12">
        <v>22</v>
      </c>
      <c r="I59" s="12" t="s">
        <v>246</v>
      </c>
      <c r="J59" s="12" t="s">
        <v>408</v>
      </c>
      <c r="K59" s="12" t="s">
        <v>409</v>
      </c>
      <c r="L59" s="12" t="s">
        <v>410</v>
      </c>
      <c r="M59" s="12"/>
    </row>
    <row r="60" spans="1:13">
      <c r="A60" s="12" t="s">
        <v>492</v>
      </c>
      <c r="B60" s="12" t="s">
        <v>232</v>
      </c>
      <c r="C60" s="12" t="s">
        <v>369</v>
      </c>
      <c r="D60" s="12" t="s">
        <v>405</v>
      </c>
      <c r="E60" s="12" t="s">
        <v>417</v>
      </c>
      <c r="F60" s="16">
        <v>46270</v>
      </c>
      <c r="G60" s="12" t="s">
        <v>200</v>
      </c>
      <c r="H60" s="12">
        <v>11</v>
      </c>
      <c r="I60" s="12" t="s">
        <v>418</v>
      </c>
      <c r="J60" s="12" t="s">
        <v>408</v>
      </c>
      <c r="K60" s="12" t="s">
        <v>409</v>
      </c>
      <c r="L60" s="12" t="s">
        <v>410</v>
      </c>
      <c r="M60" s="12"/>
    </row>
    <row r="61" spans="1:13">
      <c r="A61" s="12" t="s">
        <v>493</v>
      </c>
      <c r="B61" s="12" t="s">
        <v>229</v>
      </c>
      <c r="C61" s="12" t="s">
        <v>362</v>
      </c>
      <c r="D61" s="12" t="s">
        <v>405</v>
      </c>
      <c r="E61" s="12" t="s">
        <v>417</v>
      </c>
      <c r="F61" s="16">
        <v>46270</v>
      </c>
      <c r="G61" s="12" t="s">
        <v>200</v>
      </c>
      <c r="H61" s="12">
        <v>8</v>
      </c>
      <c r="I61" s="12" t="s">
        <v>418</v>
      </c>
      <c r="J61" s="12" t="s">
        <v>408</v>
      </c>
      <c r="K61" s="12" t="s">
        <v>409</v>
      </c>
      <c r="L61" s="12" t="s">
        <v>410</v>
      </c>
      <c r="M61" s="12"/>
    </row>
    <row r="62" spans="1:13">
      <c r="A62" s="12" t="s">
        <v>494</v>
      </c>
      <c r="B62" s="12" t="s">
        <v>213</v>
      </c>
      <c r="C62" s="12" t="s">
        <v>345</v>
      </c>
      <c r="D62" s="12" t="s">
        <v>412</v>
      </c>
      <c r="E62" s="12" t="s">
        <v>417</v>
      </c>
      <c r="F62" s="16">
        <v>46270</v>
      </c>
      <c r="G62" s="12" t="s">
        <v>200</v>
      </c>
      <c r="H62" s="12">
        <v>19</v>
      </c>
      <c r="I62" s="12" t="s">
        <v>418</v>
      </c>
      <c r="J62" s="12" t="s">
        <v>408</v>
      </c>
      <c r="K62" s="12" t="s">
        <v>409</v>
      </c>
      <c r="L62" s="12" t="s">
        <v>410</v>
      </c>
      <c r="M62" s="12"/>
    </row>
    <row r="63" spans="1:13">
      <c r="A63" s="12" t="s">
        <v>495</v>
      </c>
      <c r="B63" s="12" t="s">
        <v>223</v>
      </c>
      <c r="C63" s="12" t="s">
        <v>332</v>
      </c>
      <c r="D63" s="12" t="s">
        <v>405</v>
      </c>
      <c r="E63" s="12" t="s">
        <v>433</v>
      </c>
      <c r="F63" s="16">
        <v>46281</v>
      </c>
      <c r="G63" s="12" t="s">
        <v>200</v>
      </c>
      <c r="H63" s="12">
        <v>240</v>
      </c>
      <c r="I63" s="12" t="s">
        <v>434</v>
      </c>
      <c r="J63" s="12" t="s">
        <v>408</v>
      </c>
      <c r="K63" s="12" t="s">
        <v>409</v>
      </c>
      <c r="L63" s="12" t="s">
        <v>410</v>
      </c>
      <c r="M63" s="12"/>
    </row>
    <row r="64" spans="1:13">
      <c r="A64" s="12" t="s">
        <v>496</v>
      </c>
      <c r="B64" s="12" t="s">
        <v>223</v>
      </c>
      <c r="C64" s="12" t="s">
        <v>332</v>
      </c>
      <c r="D64" s="12" t="s">
        <v>405</v>
      </c>
      <c r="E64" s="12" t="s">
        <v>497</v>
      </c>
      <c r="F64" s="16">
        <v>46280</v>
      </c>
      <c r="G64" s="12" t="s">
        <v>200</v>
      </c>
      <c r="H64" s="12">
        <v>444</v>
      </c>
      <c r="I64" s="12" t="s">
        <v>479</v>
      </c>
      <c r="J64" s="12" t="s">
        <v>408</v>
      </c>
      <c r="K64" s="12" t="s">
        <v>409</v>
      </c>
      <c r="L64" s="12" t="s">
        <v>410</v>
      </c>
      <c r="M64" s="12"/>
    </row>
    <row r="65" spans="1:13">
      <c r="A65" s="12" t="s">
        <v>498</v>
      </c>
      <c r="B65" s="12" t="s">
        <v>232</v>
      </c>
      <c r="C65" s="12" t="s">
        <v>369</v>
      </c>
      <c r="D65" s="12" t="s">
        <v>405</v>
      </c>
      <c r="E65" s="12" t="s">
        <v>452</v>
      </c>
      <c r="F65" s="16">
        <v>46295</v>
      </c>
      <c r="G65" s="12" t="s">
        <v>200</v>
      </c>
      <c r="H65" s="12">
        <v>184</v>
      </c>
      <c r="I65" s="14" t="s">
        <v>453</v>
      </c>
      <c r="J65" s="12" t="s">
        <v>408</v>
      </c>
      <c r="K65" s="12" t="s">
        <v>409</v>
      </c>
      <c r="L65" s="12" t="s">
        <v>410</v>
      </c>
      <c r="M65" s="12"/>
    </row>
    <row r="66" spans="1:13">
      <c r="A66" s="12" t="s">
        <v>499</v>
      </c>
      <c r="B66" s="12" t="s">
        <v>207</v>
      </c>
      <c r="C66" s="12" t="s">
        <v>328</v>
      </c>
      <c r="D66" s="12" t="s">
        <v>405</v>
      </c>
      <c r="E66" s="12" t="s">
        <v>500</v>
      </c>
      <c r="F66" s="13"/>
      <c r="G66" s="12" t="s">
        <v>197</v>
      </c>
      <c r="H66" s="14"/>
      <c r="I66" s="12" t="s">
        <v>501</v>
      </c>
      <c r="J66" s="12" t="s">
        <v>502</v>
      </c>
      <c r="K66" s="14"/>
      <c r="L66" s="14"/>
      <c r="M66" s="12"/>
    </row>
    <row r="67" spans="1:13">
      <c r="A67" s="12" t="s">
        <v>503</v>
      </c>
      <c r="B67" s="12" t="s">
        <v>221</v>
      </c>
      <c r="C67" s="12" t="s">
        <v>328</v>
      </c>
      <c r="D67" s="12" t="s">
        <v>405</v>
      </c>
      <c r="E67" s="12" t="s">
        <v>500</v>
      </c>
      <c r="F67" s="13"/>
      <c r="G67" s="12" t="s">
        <v>197</v>
      </c>
      <c r="H67" s="14"/>
      <c r="I67" s="12" t="s">
        <v>501</v>
      </c>
      <c r="J67" s="12" t="s">
        <v>502</v>
      </c>
      <c r="K67" s="14"/>
      <c r="L67" s="14"/>
      <c r="M67" s="12"/>
    </row>
    <row r="68" spans="1:13">
      <c r="A68" s="12" t="s">
        <v>504</v>
      </c>
      <c r="B68" s="12" t="s">
        <v>236</v>
      </c>
      <c r="C68" s="12" t="s">
        <v>323</v>
      </c>
      <c r="D68" s="12" t="s">
        <v>405</v>
      </c>
      <c r="E68" s="12" t="s">
        <v>500</v>
      </c>
      <c r="F68" s="13"/>
      <c r="G68" s="12" t="s">
        <v>197</v>
      </c>
      <c r="H68" s="12">
        <v>93</v>
      </c>
      <c r="I68" s="12" t="s">
        <v>501</v>
      </c>
      <c r="J68" s="12" t="s">
        <v>502</v>
      </c>
      <c r="K68" s="14"/>
      <c r="L68" s="12" t="s">
        <v>410</v>
      </c>
      <c r="M68" s="12"/>
    </row>
    <row r="69" spans="1:13">
      <c r="A69" s="12" t="s">
        <v>505</v>
      </c>
      <c r="B69" s="12" t="s">
        <v>221</v>
      </c>
      <c r="C69" s="12" t="s">
        <v>328</v>
      </c>
      <c r="D69" s="12" t="s">
        <v>405</v>
      </c>
      <c r="E69" s="12" t="s">
        <v>500</v>
      </c>
      <c r="F69" s="16">
        <v>46281</v>
      </c>
      <c r="G69" s="12" t="s">
        <v>197</v>
      </c>
      <c r="H69" s="12">
        <v>49</v>
      </c>
      <c r="I69" s="12" t="s">
        <v>501</v>
      </c>
      <c r="J69" s="12" t="s">
        <v>502</v>
      </c>
      <c r="K69" s="12" t="s">
        <v>409</v>
      </c>
      <c r="L69" s="12" t="s">
        <v>410</v>
      </c>
      <c r="M69" s="12"/>
    </row>
    <row r="70" spans="1:13">
      <c r="A70" s="12" t="s">
        <v>506</v>
      </c>
      <c r="B70" s="12" t="s">
        <v>207</v>
      </c>
      <c r="C70" s="12" t="s">
        <v>328</v>
      </c>
      <c r="D70" s="12" t="s">
        <v>405</v>
      </c>
      <c r="E70" s="12" t="s">
        <v>500</v>
      </c>
      <c r="F70" s="16">
        <v>46279</v>
      </c>
      <c r="G70" s="12" t="s">
        <v>197</v>
      </c>
      <c r="H70" s="12">
        <v>127</v>
      </c>
      <c r="I70" s="12" t="s">
        <v>501</v>
      </c>
      <c r="J70" s="12" t="s">
        <v>502</v>
      </c>
      <c r="K70" s="12" t="s">
        <v>409</v>
      </c>
      <c r="L70" s="12" t="s">
        <v>410</v>
      </c>
      <c r="M70" s="12"/>
    </row>
    <row r="71" spans="1:13">
      <c r="A71" s="12" t="s">
        <v>507</v>
      </c>
      <c r="B71" s="12" t="s">
        <v>223</v>
      </c>
      <c r="C71" s="12" t="s">
        <v>332</v>
      </c>
      <c r="D71" s="12" t="s">
        <v>405</v>
      </c>
      <c r="E71" s="12" t="s">
        <v>508</v>
      </c>
      <c r="F71" s="16">
        <v>46245</v>
      </c>
      <c r="G71" s="12" t="s">
        <v>230</v>
      </c>
      <c r="H71" s="14"/>
      <c r="I71" s="12" t="s">
        <v>509</v>
      </c>
      <c r="J71" s="12" t="s">
        <v>408</v>
      </c>
      <c r="K71" s="12" t="s">
        <v>510</v>
      </c>
      <c r="L71" s="12" t="s">
        <v>410</v>
      </c>
      <c r="M71" s="12"/>
    </row>
    <row r="72" spans="1:13">
      <c r="A72" s="12" t="s">
        <v>511</v>
      </c>
      <c r="B72" s="12" t="s">
        <v>223</v>
      </c>
      <c r="C72" s="12" t="s">
        <v>332</v>
      </c>
      <c r="D72" s="12" t="s">
        <v>405</v>
      </c>
      <c r="E72" s="12" t="s">
        <v>500</v>
      </c>
      <c r="F72" s="16">
        <v>46245</v>
      </c>
      <c r="G72" s="12" t="s">
        <v>230</v>
      </c>
      <c r="H72" s="14"/>
      <c r="I72" s="12" t="s">
        <v>501</v>
      </c>
      <c r="J72" s="12" t="s">
        <v>502</v>
      </c>
      <c r="K72" s="12" t="s">
        <v>409</v>
      </c>
      <c r="L72" s="12" t="s">
        <v>410</v>
      </c>
      <c r="M72" s="12"/>
    </row>
    <row r="73" spans="1:13">
      <c r="A73" s="14" t="s">
        <v>512</v>
      </c>
      <c r="B73" s="12" t="s">
        <v>223</v>
      </c>
      <c r="C73" s="12" t="s">
        <v>332</v>
      </c>
      <c r="D73" s="12" t="s">
        <v>405</v>
      </c>
      <c r="E73" s="12" t="s">
        <v>500</v>
      </c>
      <c r="F73" s="16">
        <v>46245</v>
      </c>
      <c r="G73" s="12" t="s">
        <v>230</v>
      </c>
      <c r="H73" s="12">
        <v>199</v>
      </c>
      <c r="I73" s="12" t="s">
        <v>453</v>
      </c>
      <c r="J73" s="12" t="s">
        <v>408</v>
      </c>
      <c r="K73" s="12" t="s">
        <v>409</v>
      </c>
      <c r="L73" s="12" t="s">
        <v>410</v>
      </c>
      <c r="M73" s="12"/>
    </row>
    <row r="74" spans="1:13">
      <c r="A74" s="12" t="s">
        <v>513</v>
      </c>
      <c r="B74" s="12" t="s">
        <v>229</v>
      </c>
      <c r="C74" s="12" t="s">
        <v>362</v>
      </c>
      <c r="D74" s="12" t="s">
        <v>405</v>
      </c>
      <c r="E74" s="12" t="s">
        <v>500</v>
      </c>
      <c r="F74" s="16">
        <v>46249</v>
      </c>
      <c r="G74" s="12" t="s">
        <v>230</v>
      </c>
      <c r="H74" s="14"/>
      <c r="I74" s="12" t="s">
        <v>501</v>
      </c>
      <c r="J74" s="12" t="s">
        <v>502</v>
      </c>
      <c r="K74" s="12" t="s">
        <v>409</v>
      </c>
      <c r="L74" s="12" t="s">
        <v>410</v>
      </c>
      <c r="M74" s="12"/>
    </row>
    <row r="75" spans="1:13">
      <c r="A75" s="14" t="s">
        <v>514</v>
      </c>
      <c r="B75" s="12" t="s">
        <v>229</v>
      </c>
      <c r="C75" s="12" t="s">
        <v>362</v>
      </c>
      <c r="D75" s="12" t="s">
        <v>405</v>
      </c>
      <c r="E75" s="12" t="s">
        <v>500</v>
      </c>
      <c r="F75" s="16">
        <v>46249</v>
      </c>
      <c r="G75" s="12" t="s">
        <v>230</v>
      </c>
      <c r="H75" s="12">
        <v>184</v>
      </c>
      <c r="I75" s="12" t="s">
        <v>453</v>
      </c>
      <c r="J75" s="12" t="s">
        <v>408</v>
      </c>
      <c r="K75" s="12" t="s">
        <v>409</v>
      </c>
      <c r="L75" s="12" t="s">
        <v>410</v>
      </c>
      <c r="M75" s="12"/>
    </row>
    <row r="76" spans="1:13">
      <c r="A76" s="12" t="s">
        <v>515</v>
      </c>
      <c r="B76" s="12" t="s">
        <v>234</v>
      </c>
      <c r="C76" s="12" t="s">
        <v>336</v>
      </c>
      <c r="D76" s="12" t="s">
        <v>405</v>
      </c>
      <c r="E76" s="12" t="s">
        <v>500</v>
      </c>
      <c r="F76" s="16">
        <v>46280</v>
      </c>
      <c r="G76" s="12" t="s">
        <v>230</v>
      </c>
      <c r="H76" s="14"/>
      <c r="I76" s="12" t="s">
        <v>501</v>
      </c>
      <c r="J76" s="12" t="s">
        <v>502</v>
      </c>
      <c r="K76" s="12" t="s">
        <v>409</v>
      </c>
      <c r="L76" s="12" t="s">
        <v>410</v>
      </c>
      <c r="M76" s="12"/>
    </row>
    <row r="77" spans="1:13">
      <c r="A77" s="14" t="s">
        <v>516</v>
      </c>
      <c r="B77" s="12" t="s">
        <v>234</v>
      </c>
      <c r="C77" s="12" t="s">
        <v>336</v>
      </c>
      <c r="D77" s="12" t="s">
        <v>405</v>
      </c>
      <c r="E77" s="12" t="s">
        <v>500</v>
      </c>
      <c r="F77" s="16">
        <v>46280</v>
      </c>
      <c r="G77" s="12" t="s">
        <v>230</v>
      </c>
      <c r="H77" s="12">
        <v>117</v>
      </c>
      <c r="I77" s="12" t="s">
        <v>453</v>
      </c>
      <c r="J77" s="12" t="s">
        <v>408</v>
      </c>
      <c r="K77" s="12" t="s">
        <v>409</v>
      </c>
      <c r="L77" s="12" t="s">
        <v>410</v>
      </c>
      <c r="M77" s="12"/>
    </row>
    <row r="78" spans="1:13">
      <c r="A78" s="12" t="s">
        <v>517</v>
      </c>
      <c r="B78" s="12" t="s">
        <v>203</v>
      </c>
      <c r="C78" s="12" t="s">
        <v>332</v>
      </c>
      <c r="D78" s="12" t="s">
        <v>405</v>
      </c>
      <c r="E78" s="12" t="s">
        <v>500</v>
      </c>
      <c r="F78" s="16">
        <v>46162</v>
      </c>
      <c r="G78" s="12" t="s">
        <v>204</v>
      </c>
      <c r="H78" s="12">
        <v>1396</v>
      </c>
      <c r="I78" s="12" t="s">
        <v>501</v>
      </c>
      <c r="J78" s="12" t="s">
        <v>502</v>
      </c>
      <c r="K78" s="12" t="s">
        <v>409</v>
      </c>
      <c r="L78" s="12" t="s">
        <v>410</v>
      </c>
      <c r="M78" s="12"/>
    </row>
    <row r="79" spans="1:13">
      <c r="A79" s="14" t="s">
        <v>518</v>
      </c>
      <c r="B79" s="12" t="s">
        <v>203</v>
      </c>
      <c r="C79" s="12" t="s">
        <v>332</v>
      </c>
      <c r="D79" s="12" t="s">
        <v>405</v>
      </c>
      <c r="E79" s="12" t="s">
        <v>500</v>
      </c>
      <c r="F79" s="16">
        <v>46162</v>
      </c>
      <c r="G79" s="12" t="s">
        <v>204</v>
      </c>
      <c r="H79" s="12">
        <v>302</v>
      </c>
      <c r="I79" s="12" t="s">
        <v>453</v>
      </c>
      <c r="J79" s="12" t="s">
        <v>408</v>
      </c>
      <c r="K79" s="12" t="s">
        <v>409</v>
      </c>
      <c r="L79" s="12" t="s">
        <v>410</v>
      </c>
      <c r="M79" s="12"/>
    </row>
    <row r="80" spans="1:13">
      <c r="A80" s="12" t="s">
        <v>519</v>
      </c>
      <c r="B80" s="12" t="s">
        <v>223</v>
      </c>
      <c r="C80" s="12" t="s">
        <v>332</v>
      </c>
      <c r="D80" s="12" t="s">
        <v>405</v>
      </c>
      <c r="E80" s="12" t="s">
        <v>520</v>
      </c>
      <c r="F80" s="16">
        <v>46269</v>
      </c>
      <c r="G80" s="12" t="s">
        <v>521</v>
      </c>
      <c r="H80" s="12">
        <v>1</v>
      </c>
      <c r="I80" s="14" t="s">
        <v>522</v>
      </c>
      <c r="J80" s="12" t="s">
        <v>408</v>
      </c>
      <c r="K80" s="12" t="s">
        <v>409</v>
      </c>
      <c r="L80" s="12" t="s">
        <v>410</v>
      </c>
      <c r="M80" s="12"/>
    </row>
    <row r="81" spans="1:13">
      <c r="A81" s="12" t="s">
        <v>523</v>
      </c>
      <c r="B81" s="12" t="s">
        <v>223</v>
      </c>
      <c r="C81" s="12" t="s">
        <v>332</v>
      </c>
      <c r="D81" s="12" t="s">
        <v>405</v>
      </c>
      <c r="E81" s="12" t="s">
        <v>520</v>
      </c>
      <c r="F81" s="16">
        <v>46269</v>
      </c>
      <c r="G81" s="12" t="s">
        <v>521</v>
      </c>
      <c r="H81" s="12">
        <v>1</v>
      </c>
      <c r="I81" s="14" t="s">
        <v>522</v>
      </c>
      <c r="J81" s="12" t="s">
        <v>408</v>
      </c>
      <c r="K81" s="12" t="s">
        <v>409</v>
      </c>
      <c r="L81" s="12" t="s">
        <v>410</v>
      </c>
      <c r="M81" s="12"/>
    </row>
    <row r="82" spans="1:13">
      <c r="A82" s="12" t="s">
        <v>524</v>
      </c>
      <c r="B82" s="12" t="s">
        <v>213</v>
      </c>
      <c r="C82" s="12" t="s">
        <v>345</v>
      </c>
      <c r="D82" s="12" t="s">
        <v>412</v>
      </c>
      <c r="E82" s="12" t="s">
        <v>520</v>
      </c>
      <c r="F82" s="16">
        <v>46260</v>
      </c>
      <c r="G82" s="12" t="s">
        <v>521</v>
      </c>
      <c r="H82" s="12">
        <v>1</v>
      </c>
      <c r="I82" s="14" t="s">
        <v>522</v>
      </c>
      <c r="J82" s="12" t="s">
        <v>408</v>
      </c>
      <c r="K82" s="12" t="s">
        <v>409</v>
      </c>
      <c r="L82" s="12" t="s">
        <v>410</v>
      </c>
      <c r="M82" s="12"/>
    </row>
  </sheetData>
  <dataValidations count="3">
    <dataValidation type="list" sqref="D2:D1000" xr:uid="{00000000-0002-0000-0800-000000000000}">
      <formula1>"Tier 1,Tier 2"</formula1>
    </dataValidation>
    <dataValidation type="list" sqref="J2:J1000" xr:uid="{00000000-0002-0000-0800-000001000000}">
      <formula1>"Assistance,Service output"</formula1>
    </dataValidation>
    <dataValidation type="list" sqref="K2:K1000" xr:uid="{00000000-0002-0000-0800-000002000000}">
      <formula1>"Completed,Planned,Ongoing,Cancelled"</formula1>
    </dataValidation>
  </dataValidations>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
  <sheetViews>
    <sheetView showGridLines="0" workbookViewId="0">
      <pane xSplit="1" ySplit="1" topLeftCell="B2" activePane="bottomRight" state="frozen"/>
      <selection pane="topRight"/>
      <selection pane="bottomLeft"/>
      <selection pane="bottomRight" activeCell="G2" sqref="G2"/>
    </sheetView>
  </sheetViews>
  <sheetFormatPr defaultRowHeight="14"/>
  <cols>
    <col min="1" max="7" width="18" customWidth="1"/>
    <col min="8" max="8" width="70" customWidth="1"/>
  </cols>
  <sheetData>
    <row r="1" spans="1:8" ht="40" customHeight="1">
      <c r="A1" s="5" t="s">
        <v>525</v>
      </c>
      <c r="B1" s="5" t="s">
        <v>172</v>
      </c>
      <c r="C1" s="5" t="s">
        <v>141</v>
      </c>
      <c r="D1" s="5" t="s">
        <v>526</v>
      </c>
      <c r="E1" s="5" t="s">
        <v>527</v>
      </c>
      <c r="F1" s="5" t="s">
        <v>528</v>
      </c>
      <c r="G1" s="7" t="s">
        <v>529</v>
      </c>
      <c r="H1" s="5" t="s">
        <v>530</v>
      </c>
    </row>
    <row r="2" spans="1:8" ht="62" customHeight="1"/>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
  <sheetViews>
    <sheetView showGridLines="0" workbookViewId="0">
      <pane xSplit="1" ySplit="1" topLeftCell="B2" activePane="bottomRight" state="frozen"/>
      <selection pane="topRight"/>
      <selection pane="bottomLeft"/>
      <selection pane="bottomRight" activeCell="B2" sqref="B2"/>
    </sheetView>
  </sheetViews>
  <sheetFormatPr defaultRowHeight="14"/>
  <cols>
    <col min="1" max="3" width="18" customWidth="1"/>
    <col min="4" max="4" width="70" customWidth="1"/>
  </cols>
  <sheetData>
    <row r="1" spans="1:4" ht="40" customHeight="1">
      <c r="A1" s="5" t="s">
        <v>531</v>
      </c>
      <c r="B1" s="7" t="s">
        <v>532</v>
      </c>
      <c r="C1" s="5" t="s">
        <v>146</v>
      </c>
      <c r="D1" s="5" t="s">
        <v>533</v>
      </c>
    </row>
    <row r="2" spans="1:4" ht="62" customHeight="1">
      <c r="A2" s="18" t="s">
        <v>534</v>
      </c>
      <c r="B2" s="6">
        <v>46295</v>
      </c>
      <c r="C2" s="1" t="s">
        <v>151</v>
      </c>
      <c r="D2" s="3" t="s">
        <v>535</v>
      </c>
    </row>
  </sheetData>
  <dataValidations count="1">
    <dataValidation type="list" sqref="A2:A1000" xr:uid="{00000000-0002-0000-0A00-000000000000}">
      <formula1>"demo,operational"</formula1>
    </dataValidation>
  </dataValidations>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5"/>
  <sheetViews>
    <sheetView showGridLines="0" workbookViewId="0">
      <pane ySplit="1" topLeftCell="A2" activePane="bottomLeft" state="frozen"/>
      <selection pane="bottomLeft"/>
    </sheetView>
  </sheetViews>
  <sheetFormatPr defaultRowHeight="14"/>
  <cols>
    <col min="1" max="1" width="20" customWidth="1"/>
    <col min="2" max="2" width="26" customWidth="1"/>
    <col min="3" max="3" width="24" customWidth="1"/>
    <col min="4" max="4" width="48" customWidth="1"/>
    <col min="5" max="5" width="90" customWidth="1"/>
  </cols>
  <sheetData>
    <row r="1" spans="1:5" ht="34" customHeight="1">
      <c r="A1" s="4" t="s">
        <v>536</v>
      </c>
      <c r="B1" s="4" t="s">
        <v>537</v>
      </c>
      <c r="C1" s="4" t="s">
        <v>538</v>
      </c>
      <c r="D1" s="5" t="s">
        <v>539</v>
      </c>
      <c r="E1" s="5" t="s">
        <v>540</v>
      </c>
    </row>
    <row r="2" spans="1:5" ht="34" customHeight="1">
      <c r="A2" s="1" t="s">
        <v>120</v>
      </c>
      <c r="B2" s="1" t="s">
        <v>140</v>
      </c>
      <c r="C2" s="1" t="s">
        <v>218</v>
      </c>
      <c r="D2" s="3" t="s">
        <v>541</v>
      </c>
      <c r="E2" s="3" t="s">
        <v>542</v>
      </c>
    </row>
    <row r="3" spans="1:5" ht="34" customHeight="1">
      <c r="A3" s="1" t="s">
        <v>120</v>
      </c>
      <c r="B3" s="1" t="s">
        <v>141</v>
      </c>
      <c r="C3" s="1" t="s">
        <v>218</v>
      </c>
      <c r="D3" s="3" t="s">
        <v>541</v>
      </c>
      <c r="E3" s="3" t="s">
        <v>141</v>
      </c>
    </row>
    <row r="4" spans="1:5" ht="34" customHeight="1">
      <c r="A4" s="1" t="s">
        <v>120</v>
      </c>
      <c r="B4" s="1" t="s">
        <v>142</v>
      </c>
      <c r="C4" s="1" t="s">
        <v>218</v>
      </c>
      <c r="D4" s="3" t="s">
        <v>541</v>
      </c>
      <c r="E4" s="3" t="s">
        <v>142</v>
      </c>
    </row>
    <row r="5" spans="1:5" ht="34" customHeight="1">
      <c r="A5" s="1" t="s">
        <v>120</v>
      </c>
      <c r="B5" s="1" t="s">
        <v>143</v>
      </c>
      <c r="C5" s="1" t="s">
        <v>218</v>
      </c>
      <c r="D5" s="3" t="s">
        <v>543</v>
      </c>
      <c r="E5" s="3" t="s">
        <v>143</v>
      </c>
    </row>
    <row r="6" spans="1:5" ht="34" customHeight="1">
      <c r="A6" s="1" t="s">
        <v>120</v>
      </c>
      <c r="B6" s="1" t="s">
        <v>144</v>
      </c>
      <c r="C6" s="1" t="s">
        <v>218</v>
      </c>
      <c r="D6" s="3" t="s">
        <v>544</v>
      </c>
      <c r="E6" s="3" t="s">
        <v>545</v>
      </c>
    </row>
    <row r="7" spans="1:5" ht="34" customHeight="1">
      <c r="A7" s="1" t="s">
        <v>120</v>
      </c>
      <c r="B7" s="1" t="s">
        <v>145</v>
      </c>
      <c r="C7" s="1" t="s">
        <v>546</v>
      </c>
      <c r="D7" s="3" t="s">
        <v>544</v>
      </c>
      <c r="E7" s="3" t="s">
        <v>547</v>
      </c>
    </row>
    <row r="8" spans="1:5" ht="34" customHeight="1">
      <c r="A8" s="1" t="s">
        <v>120</v>
      </c>
      <c r="B8" s="1" t="s">
        <v>146</v>
      </c>
      <c r="C8" s="1" t="s">
        <v>218</v>
      </c>
      <c r="D8" s="3" t="s">
        <v>541</v>
      </c>
      <c r="E8" s="3" t="s">
        <v>548</v>
      </c>
    </row>
    <row r="9" spans="1:5" ht="34" customHeight="1">
      <c r="A9" s="1" t="s">
        <v>122</v>
      </c>
      <c r="B9" s="1" t="s">
        <v>172</v>
      </c>
      <c r="C9" s="1" t="s">
        <v>218</v>
      </c>
      <c r="D9" s="3" t="s">
        <v>541</v>
      </c>
      <c r="E9" s="3" t="s">
        <v>549</v>
      </c>
    </row>
    <row r="10" spans="1:5" ht="34" customHeight="1">
      <c r="A10" s="1" t="s">
        <v>122</v>
      </c>
      <c r="B10" s="1" t="s">
        <v>173</v>
      </c>
      <c r="C10" s="1" t="s">
        <v>218</v>
      </c>
      <c r="D10" s="3" t="s">
        <v>544</v>
      </c>
      <c r="E10" s="3" t="s">
        <v>545</v>
      </c>
    </row>
    <row r="11" spans="1:5" ht="34" customHeight="1">
      <c r="A11" s="1" t="s">
        <v>122</v>
      </c>
      <c r="B11" s="1" t="s">
        <v>174</v>
      </c>
      <c r="C11" s="1" t="s">
        <v>218</v>
      </c>
      <c r="D11" s="3" t="s">
        <v>541</v>
      </c>
      <c r="E11" s="3" t="s">
        <v>174</v>
      </c>
    </row>
    <row r="12" spans="1:5" ht="34" customHeight="1">
      <c r="A12" s="1" t="s">
        <v>122</v>
      </c>
      <c r="B12" s="1" t="s">
        <v>175</v>
      </c>
      <c r="C12" s="1" t="s">
        <v>218</v>
      </c>
      <c r="D12" s="3" t="s">
        <v>541</v>
      </c>
      <c r="E12" s="3" t="s">
        <v>175</v>
      </c>
    </row>
    <row r="13" spans="1:5" ht="34" customHeight="1">
      <c r="A13" s="1" t="s">
        <v>122</v>
      </c>
      <c r="B13" s="1" t="s">
        <v>176</v>
      </c>
      <c r="C13" s="1" t="s">
        <v>218</v>
      </c>
      <c r="D13" s="3" t="s">
        <v>541</v>
      </c>
      <c r="E13" s="3" t="s">
        <v>176</v>
      </c>
    </row>
    <row r="14" spans="1:5" ht="34" customHeight="1">
      <c r="A14" s="1" t="s">
        <v>122</v>
      </c>
      <c r="B14" s="1" t="s">
        <v>177</v>
      </c>
      <c r="C14" s="1" t="s">
        <v>546</v>
      </c>
      <c r="D14" s="3" t="s">
        <v>550</v>
      </c>
      <c r="E14" s="3" t="s">
        <v>551</v>
      </c>
    </row>
    <row r="15" spans="1:5" ht="34" customHeight="1">
      <c r="A15" s="1" t="s">
        <v>122</v>
      </c>
      <c r="B15" s="1" t="s">
        <v>178</v>
      </c>
      <c r="C15" s="1" t="s">
        <v>546</v>
      </c>
      <c r="D15" s="3" t="s">
        <v>550</v>
      </c>
      <c r="E15" s="3" t="s">
        <v>552</v>
      </c>
    </row>
    <row r="16" spans="1:5" ht="34" customHeight="1">
      <c r="A16" s="1" t="s">
        <v>122</v>
      </c>
      <c r="B16" s="1" t="s">
        <v>179</v>
      </c>
      <c r="C16" s="1" t="s">
        <v>546</v>
      </c>
      <c r="D16" s="3" t="s">
        <v>541</v>
      </c>
      <c r="E16" s="3" t="s">
        <v>553</v>
      </c>
    </row>
    <row r="17" spans="1:5" ht="34" customHeight="1">
      <c r="A17" s="1" t="s">
        <v>122</v>
      </c>
      <c r="B17" s="1" t="s">
        <v>180</v>
      </c>
      <c r="C17" s="1" t="s">
        <v>218</v>
      </c>
      <c r="D17" s="3" t="s">
        <v>544</v>
      </c>
      <c r="E17" s="3" t="s">
        <v>545</v>
      </c>
    </row>
    <row r="18" spans="1:5" ht="34" customHeight="1">
      <c r="A18" s="1" t="s">
        <v>122</v>
      </c>
      <c r="B18" s="1" t="s">
        <v>181</v>
      </c>
      <c r="C18" s="1" t="s">
        <v>546</v>
      </c>
      <c r="D18" s="3" t="s">
        <v>550</v>
      </c>
      <c r="E18" s="3" t="s">
        <v>554</v>
      </c>
    </row>
    <row r="19" spans="1:5" ht="34" customHeight="1">
      <c r="A19" s="1" t="s">
        <v>122</v>
      </c>
      <c r="B19" s="1" t="s">
        <v>182</v>
      </c>
      <c r="C19" s="1" t="s">
        <v>546</v>
      </c>
      <c r="D19" s="3" t="s">
        <v>550</v>
      </c>
      <c r="E19" s="3" t="s">
        <v>555</v>
      </c>
    </row>
    <row r="20" spans="1:5" ht="34" customHeight="1">
      <c r="A20" s="1" t="s">
        <v>122</v>
      </c>
      <c r="B20" s="1" t="s">
        <v>183</v>
      </c>
      <c r="C20" s="1" t="s">
        <v>546</v>
      </c>
      <c r="D20" s="3" t="s">
        <v>541</v>
      </c>
      <c r="E20" s="3" t="s">
        <v>556</v>
      </c>
    </row>
    <row r="21" spans="1:5" ht="34" customHeight="1">
      <c r="A21" s="1" t="s">
        <v>122</v>
      </c>
      <c r="B21" s="1" t="s">
        <v>184</v>
      </c>
      <c r="C21" s="1" t="s">
        <v>546</v>
      </c>
      <c r="D21" s="3" t="s">
        <v>544</v>
      </c>
      <c r="E21" s="3" t="s">
        <v>545</v>
      </c>
    </row>
    <row r="22" spans="1:5" ht="34" customHeight="1">
      <c r="A22" s="1" t="s">
        <v>122</v>
      </c>
      <c r="B22" s="1" t="s">
        <v>185</v>
      </c>
      <c r="C22" s="1" t="s">
        <v>546</v>
      </c>
      <c r="D22" s="3" t="s">
        <v>541</v>
      </c>
      <c r="E22" s="3" t="s">
        <v>185</v>
      </c>
    </row>
    <row r="23" spans="1:5" ht="34" customHeight="1">
      <c r="A23" s="1" t="s">
        <v>122</v>
      </c>
      <c r="B23" s="1" t="s">
        <v>186</v>
      </c>
      <c r="C23" s="1" t="s">
        <v>546</v>
      </c>
      <c r="D23" s="3" t="s">
        <v>541</v>
      </c>
      <c r="E23" s="3" t="s">
        <v>557</v>
      </c>
    </row>
    <row r="24" spans="1:5" ht="34" customHeight="1">
      <c r="A24" s="1" t="s">
        <v>122</v>
      </c>
      <c r="B24" s="1" t="s">
        <v>187</v>
      </c>
      <c r="C24" s="1" t="s">
        <v>546</v>
      </c>
      <c r="D24" s="3" t="s">
        <v>541</v>
      </c>
      <c r="E24" s="3" t="s">
        <v>558</v>
      </c>
    </row>
    <row r="25" spans="1:5" ht="34" customHeight="1">
      <c r="A25" s="1" t="s">
        <v>124</v>
      </c>
      <c r="B25" s="1" t="s">
        <v>243</v>
      </c>
      <c r="C25" s="1" t="s">
        <v>218</v>
      </c>
      <c r="D25" s="3" t="s">
        <v>541</v>
      </c>
      <c r="E25" s="3" t="s">
        <v>559</v>
      </c>
    </row>
    <row r="26" spans="1:5" ht="34" customHeight="1">
      <c r="A26" s="1" t="s">
        <v>124</v>
      </c>
      <c r="B26" s="1" t="s">
        <v>172</v>
      </c>
      <c r="C26" s="1" t="s">
        <v>218</v>
      </c>
      <c r="D26" s="3" t="s">
        <v>541</v>
      </c>
      <c r="E26" s="3" t="s">
        <v>549</v>
      </c>
    </row>
    <row r="27" spans="1:5" ht="34" customHeight="1">
      <c r="A27" s="1" t="s">
        <v>124</v>
      </c>
      <c r="B27" s="1" t="s">
        <v>244</v>
      </c>
      <c r="C27" s="1" t="s">
        <v>218</v>
      </c>
      <c r="D27" s="3" t="s">
        <v>541</v>
      </c>
      <c r="E27" s="3" t="s">
        <v>244</v>
      </c>
    </row>
    <row r="28" spans="1:5" ht="34" customHeight="1">
      <c r="A28" s="1" t="s">
        <v>124</v>
      </c>
      <c r="B28" s="1" t="s">
        <v>245</v>
      </c>
      <c r="C28" s="1" t="s">
        <v>218</v>
      </c>
      <c r="D28" s="3" t="s">
        <v>541</v>
      </c>
      <c r="E28" s="3" t="s">
        <v>245</v>
      </c>
    </row>
    <row r="29" spans="1:5" ht="34" customHeight="1">
      <c r="A29" s="1" t="s">
        <v>124</v>
      </c>
      <c r="B29" s="1" t="s">
        <v>246</v>
      </c>
      <c r="C29" s="1" t="s">
        <v>546</v>
      </c>
      <c r="D29" s="3" t="s">
        <v>550</v>
      </c>
      <c r="E29" s="3" t="s">
        <v>246</v>
      </c>
    </row>
    <row r="30" spans="1:5" ht="34" customHeight="1">
      <c r="A30" s="1" t="s">
        <v>124</v>
      </c>
      <c r="B30" s="1" t="s">
        <v>247</v>
      </c>
      <c r="C30" s="1" t="s">
        <v>546</v>
      </c>
      <c r="D30" s="3" t="s">
        <v>550</v>
      </c>
      <c r="E30" s="3" t="s">
        <v>247</v>
      </c>
    </row>
    <row r="31" spans="1:5" ht="34" customHeight="1">
      <c r="A31" s="1" t="s">
        <v>124</v>
      </c>
      <c r="B31" s="1" t="s">
        <v>248</v>
      </c>
      <c r="C31" s="1" t="s">
        <v>218</v>
      </c>
      <c r="D31" s="3" t="s">
        <v>560</v>
      </c>
      <c r="E31" s="3" t="s">
        <v>561</v>
      </c>
    </row>
    <row r="32" spans="1:5" ht="34" customHeight="1">
      <c r="A32" s="1" t="s">
        <v>124</v>
      </c>
      <c r="B32" s="1" t="s">
        <v>249</v>
      </c>
      <c r="C32" s="1" t="s">
        <v>218</v>
      </c>
      <c r="D32" s="3" t="s">
        <v>562</v>
      </c>
      <c r="E32" s="3" t="s">
        <v>249</v>
      </c>
    </row>
    <row r="33" spans="1:5" ht="34" customHeight="1">
      <c r="A33" s="1" t="s">
        <v>126</v>
      </c>
      <c r="B33" s="1" t="s">
        <v>243</v>
      </c>
      <c r="C33" s="1" t="s">
        <v>218</v>
      </c>
      <c r="D33" s="3" t="s">
        <v>541</v>
      </c>
      <c r="E33" s="3" t="s">
        <v>559</v>
      </c>
    </row>
    <row r="34" spans="1:5" ht="34" customHeight="1">
      <c r="A34" s="1" t="s">
        <v>126</v>
      </c>
      <c r="B34" s="1" t="s">
        <v>306</v>
      </c>
      <c r="C34" s="1" t="s">
        <v>218</v>
      </c>
      <c r="D34" s="3" t="s">
        <v>563</v>
      </c>
      <c r="E34" s="3" t="s">
        <v>306</v>
      </c>
    </row>
    <row r="35" spans="1:5" ht="34" customHeight="1">
      <c r="A35" s="1" t="s">
        <v>126</v>
      </c>
      <c r="B35" s="1" t="s">
        <v>307</v>
      </c>
      <c r="C35" s="1" t="s">
        <v>218</v>
      </c>
      <c r="D35" s="3" t="s">
        <v>541</v>
      </c>
      <c r="E35" s="3" t="s">
        <v>564</v>
      </c>
    </row>
    <row r="36" spans="1:5" ht="34" customHeight="1">
      <c r="A36" s="1" t="s">
        <v>126</v>
      </c>
      <c r="B36" s="1" t="s">
        <v>308</v>
      </c>
      <c r="C36" s="1" t="s">
        <v>546</v>
      </c>
      <c r="D36" s="3" t="s">
        <v>550</v>
      </c>
      <c r="E36" s="3" t="s">
        <v>565</v>
      </c>
    </row>
    <row r="37" spans="1:5" ht="34" customHeight="1">
      <c r="A37" s="1" t="s">
        <v>126</v>
      </c>
      <c r="B37" s="1" t="s">
        <v>309</v>
      </c>
      <c r="C37" s="1" t="s">
        <v>546</v>
      </c>
      <c r="D37" s="3" t="s">
        <v>550</v>
      </c>
      <c r="E37" s="3" t="s">
        <v>565</v>
      </c>
    </row>
    <row r="38" spans="1:5" ht="34" customHeight="1">
      <c r="A38" s="1" t="s">
        <v>126</v>
      </c>
      <c r="B38" s="1" t="s">
        <v>310</v>
      </c>
      <c r="C38" s="1" t="s">
        <v>546</v>
      </c>
      <c r="D38" s="3" t="s">
        <v>541</v>
      </c>
      <c r="E38" s="3" t="s">
        <v>566</v>
      </c>
    </row>
    <row r="39" spans="1:5" ht="34" customHeight="1">
      <c r="A39" s="1" t="s">
        <v>126</v>
      </c>
      <c r="B39" s="1" t="s">
        <v>311</v>
      </c>
      <c r="C39" s="1" t="s">
        <v>218</v>
      </c>
      <c r="D39" s="3" t="s">
        <v>567</v>
      </c>
      <c r="E39" s="3" t="s">
        <v>568</v>
      </c>
    </row>
    <row r="40" spans="1:5" ht="34" customHeight="1">
      <c r="A40" s="1" t="s">
        <v>128</v>
      </c>
      <c r="B40" s="1" t="s">
        <v>0</v>
      </c>
      <c r="C40" s="1" t="s">
        <v>218</v>
      </c>
      <c r="D40" s="3" t="s">
        <v>541</v>
      </c>
      <c r="E40" s="3" t="s">
        <v>569</v>
      </c>
    </row>
    <row r="41" spans="1:5" ht="34" customHeight="1">
      <c r="A41" s="1" t="s">
        <v>128</v>
      </c>
      <c r="B41" s="1" t="s">
        <v>172</v>
      </c>
      <c r="C41" s="1" t="s">
        <v>218</v>
      </c>
      <c r="D41" s="3" t="s">
        <v>541</v>
      </c>
      <c r="E41" s="3" t="s">
        <v>549</v>
      </c>
    </row>
    <row r="42" spans="1:5" ht="34" customHeight="1">
      <c r="A42" s="1" t="s">
        <v>128</v>
      </c>
      <c r="B42" s="1" t="s">
        <v>141</v>
      </c>
      <c r="C42" s="1" t="s">
        <v>218</v>
      </c>
      <c r="D42" s="3" t="s">
        <v>541</v>
      </c>
      <c r="E42" s="3" t="s">
        <v>141</v>
      </c>
    </row>
    <row r="43" spans="1:5" ht="34" customHeight="1">
      <c r="A43" s="1" t="s">
        <v>128</v>
      </c>
      <c r="B43" s="1" t="s">
        <v>313</v>
      </c>
      <c r="C43" s="1" t="s">
        <v>218</v>
      </c>
      <c r="D43" s="3" t="s">
        <v>544</v>
      </c>
      <c r="E43" s="3" t="s">
        <v>545</v>
      </c>
    </row>
    <row r="44" spans="1:5" ht="34" customHeight="1">
      <c r="A44" s="1" t="s">
        <v>128</v>
      </c>
      <c r="B44" s="1" t="s">
        <v>314</v>
      </c>
      <c r="C44" s="1" t="s">
        <v>218</v>
      </c>
      <c r="D44" s="3" t="s">
        <v>544</v>
      </c>
      <c r="E44" s="3" t="s">
        <v>545</v>
      </c>
    </row>
    <row r="45" spans="1:5" ht="34" customHeight="1">
      <c r="A45" s="1" t="s">
        <v>128</v>
      </c>
      <c r="B45" s="1" t="s">
        <v>315</v>
      </c>
      <c r="C45" s="1" t="s">
        <v>218</v>
      </c>
      <c r="D45" s="3" t="s">
        <v>541</v>
      </c>
      <c r="E45" s="3" t="s">
        <v>315</v>
      </c>
    </row>
    <row r="46" spans="1:5" ht="34" customHeight="1">
      <c r="A46" s="1" t="s">
        <v>128</v>
      </c>
      <c r="B46" s="1" t="s">
        <v>316</v>
      </c>
      <c r="C46" s="1" t="s">
        <v>218</v>
      </c>
      <c r="D46" s="3" t="s">
        <v>550</v>
      </c>
      <c r="E46" s="3" t="s">
        <v>570</v>
      </c>
    </row>
    <row r="47" spans="1:5" ht="34" customHeight="1">
      <c r="A47" s="1" t="s">
        <v>128</v>
      </c>
      <c r="B47" s="1" t="s">
        <v>317</v>
      </c>
      <c r="C47" s="1" t="s">
        <v>218</v>
      </c>
      <c r="D47" s="3" t="s">
        <v>550</v>
      </c>
      <c r="E47" s="3" t="s">
        <v>571</v>
      </c>
    </row>
    <row r="48" spans="1:5" ht="34" customHeight="1">
      <c r="A48" s="1" t="s">
        <v>128</v>
      </c>
      <c r="B48" s="1" t="s">
        <v>318</v>
      </c>
      <c r="C48" s="1" t="s">
        <v>218</v>
      </c>
      <c r="D48" s="3" t="s">
        <v>550</v>
      </c>
      <c r="E48" s="3" t="s">
        <v>572</v>
      </c>
    </row>
    <row r="49" spans="1:5" ht="34" customHeight="1">
      <c r="A49" s="1" t="s">
        <v>128</v>
      </c>
      <c r="B49" s="1" t="s">
        <v>319</v>
      </c>
      <c r="C49" s="1" t="s">
        <v>546</v>
      </c>
      <c r="D49" s="3" t="s">
        <v>541</v>
      </c>
      <c r="E49" s="3" t="s">
        <v>573</v>
      </c>
    </row>
    <row r="50" spans="1:5" ht="34" customHeight="1">
      <c r="A50" s="1" t="s">
        <v>128</v>
      </c>
      <c r="B50" s="1" t="s">
        <v>320</v>
      </c>
      <c r="C50" s="1" t="s">
        <v>546</v>
      </c>
      <c r="D50" s="3" t="s">
        <v>541</v>
      </c>
      <c r="E50" s="3" t="s">
        <v>320</v>
      </c>
    </row>
    <row r="51" spans="1:5" ht="34" customHeight="1">
      <c r="A51" s="1" t="s">
        <v>128</v>
      </c>
      <c r="B51" s="1" t="s">
        <v>321</v>
      </c>
      <c r="C51" s="1" t="s">
        <v>546</v>
      </c>
      <c r="D51" s="3" t="s">
        <v>541</v>
      </c>
      <c r="E51" s="3" t="s">
        <v>574</v>
      </c>
    </row>
    <row r="52" spans="1:5" ht="34" customHeight="1">
      <c r="A52" s="1" t="s">
        <v>128</v>
      </c>
      <c r="B52" s="1" t="s">
        <v>322</v>
      </c>
      <c r="C52" s="1" t="s">
        <v>546</v>
      </c>
      <c r="D52" s="3" t="s">
        <v>541</v>
      </c>
      <c r="E52" s="3" t="s">
        <v>322</v>
      </c>
    </row>
    <row r="53" spans="1:5" ht="34" customHeight="1">
      <c r="A53" s="1" t="s">
        <v>130</v>
      </c>
      <c r="B53" s="1" t="s">
        <v>0</v>
      </c>
      <c r="C53" s="1" t="s">
        <v>218</v>
      </c>
      <c r="D53" s="3" t="s">
        <v>541</v>
      </c>
      <c r="E53" s="3" t="s">
        <v>569</v>
      </c>
    </row>
    <row r="54" spans="1:5" ht="34" customHeight="1">
      <c r="A54" s="1" t="s">
        <v>130</v>
      </c>
      <c r="B54" s="1" t="s">
        <v>1</v>
      </c>
      <c r="C54" s="1" t="s">
        <v>218</v>
      </c>
      <c r="D54" s="3" t="s">
        <v>541</v>
      </c>
      <c r="E54" s="3" t="s">
        <v>1</v>
      </c>
    </row>
    <row r="55" spans="1:5" ht="34" customHeight="1">
      <c r="A55" s="1" t="s">
        <v>130</v>
      </c>
      <c r="B55" s="1" t="s">
        <v>2</v>
      </c>
      <c r="C55" s="1" t="s">
        <v>218</v>
      </c>
      <c r="D55" s="3" t="s">
        <v>550</v>
      </c>
      <c r="E55" s="3" t="s">
        <v>2</v>
      </c>
    </row>
    <row r="56" spans="1:5" ht="34" customHeight="1">
      <c r="A56" s="1" t="s">
        <v>130</v>
      </c>
      <c r="B56" s="1" t="s">
        <v>3</v>
      </c>
      <c r="C56" s="1" t="s">
        <v>218</v>
      </c>
      <c r="D56" s="3" t="s">
        <v>541</v>
      </c>
      <c r="E56" s="3" t="s">
        <v>575</v>
      </c>
    </row>
    <row r="57" spans="1:5" ht="34" customHeight="1">
      <c r="A57" s="1" t="s">
        <v>130</v>
      </c>
      <c r="B57" s="1" t="s">
        <v>4</v>
      </c>
      <c r="C57" s="1" t="s">
        <v>218</v>
      </c>
      <c r="D57" s="3" t="s">
        <v>550</v>
      </c>
      <c r="E57" s="3" t="s">
        <v>576</v>
      </c>
    </row>
    <row r="58" spans="1:5" ht="34" customHeight="1">
      <c r="A58" s="1" t="s">
        <v>130</v>
      </c>
      <c r="B58" s="1" t="s">
        <v>5</v>
      </c>
      <c r="C58" s="1" t="s">
        <v>218</v>
      </c>
      <c r="D58" s="3" t="s">
        <v>550</v>
      </c>
      <c r="E58" s="3" t="s">
        <v>577</v>
      </c>
    </row>
    <row r="59" spans="1:5" ht="34" customHeight="1">
      <c r="A59" s="1" t="s">
        <v>130</v>
      </c>
      <c r="B59" s="1" t="s">
        <v>6</v>
      </c>
      <c r="C59" s="1" t="s">
        <v>218</v>
      </c>
      <c r="D59" s="3" t="s">
        <v>541</v>
      </c>
      <c r="E59" s="3" t="s">
        <v>578</v>
      </c>
    </row>
    <row r="60" spans="1:5" ht="34" customHeight="1">
      <c r="A60" s="1" t="s">
        <v>132</v>
      </c>
      <c r="B60" s="1" t="s">
        <v>384</v>
      </c>
      <c r="C60" s="1" t="s">
        <v>218</v>
      </c>
      <c r="D60" s="3" t="s">
        <v>541</v>
      </c>
      <c r="E60" s="3" t="s">
        <v>542</v>
      </c>
    </row>
    <row r="61" spans="1:5" ht="34" customHeight="1">
      <c r="A61" s="1" t="s">
        <v>132</v>
      </c>
      <c r="B61" s="1" t="s">
        <v>172</v>
      </c>
      <c r="C61" s="1" t="s">
        <v>218</v>
      </c>
      <c r="D61" s="3" t="s">
        <v>541</v>
      </c>
      <c r="E61" s="3" t="s">
        <v>549</v>
      </c>
    </row>
    <row r="62" spans="1:5" ht="34" customHeight="1">
      <c r="A62" s="1" t="s">
        <v>132</v>
      </c>
      <c r="B62" s="1" t="s">
        <v>385</v>
      </c>
      <c r="C62" s="1" t="s">
        <v>218</v>
      </c>
      <c r="D62" s="3" t="s">
        <v>541</v>
      </c>
      <c r="E62" s="3" t="s">
        <v>385</v>
      </c>
    </row>
    <row r="63" spans="1:5" ht="34" customHeight="1">
      <c r="A63" s="1" t="s">
        <v>132</v>
      </c>
      <c r="B63" s="1" t="s">
        <v>386</v>
      </c>
      <c r="C63" s="1" t="s">
        <v>218</v>
      </c>
      <c r="D63" s="3" t="s">
        <v>544</v>
      </c>
      <c r="E63" s="3" t="s">
        <v>545</v>
      </c>
    </row>
    <row r="64" spans="1:5" ht="34" customHeight="1">
      <c r="A64" s="1" t="s">
        <v>132</v>
      </c>
      <c r="B64" s="1" t="s">
        <v>387</v>
      </c>
      <c r="C64" s="1" t="s">
        <v>218</v>
      </c>
      <c r="D64" s="3" t="s">
        <v>579</v>
      </c>
      <c r="E64" s="3" t="s">
        <v>387</v>
      </c>
    </row>
    <row r="65" spans="1:5" ht="34" customHeight="1">
      <c r="A65" s="1" t="s">
        <v>132</v>
      </c>
      <c r="B65" s="1" t="s">
        <v>388</v>
      </c>
      <c r="C65" s="1" t="s">
        <v>218</v>
      </c>
      <c r="D65" s="3" t="s">
        <v>580</v>
      </c>
      <c r="E65" s="3" t="s">
        <v>388</v>
      </c>
    </row>
    <row r="66" spans="1:5" ht="34" customHeight="1">
      <c r="A66" s="1" t="s">
        <v>132</v>
      </c>
      <c r="B66" s="1" t="s">
        <v>389</v>
      </c>
      <c r="C66" s="1" t="s">
        <v>218</v>
      </c>
      <c r="D66" s="3" t="s">
        <v>541</v>
      </c>
      <c r="E66" s="3" t="s">
        <v>389</v>
      </c>
    </row>
    <row r="67" spans="1:5" ht="34" customHeight="1">
      <c r="A67" s="1" t="s">
        <v>132</v>
      </c>
      <c r="B67" s="1" t="s">
        <v>390</v>
      </c>
      <c r="C67" s="1" t="s">
        <v>218</v>
      </c>
      <c r="D67" s="3" t="s">
        <v>581</v>
      </c>
      <c r="E67" s="3" t="s">
        <v>390</v>
      </c>
    </row>
    <row r="68" spans="1:5" ht="34" customHeight="1">
      <c r="A68" s="1" t="s">
        <v>132</v>
      </c>
      <c r="B68" s="1" t="s">
        <v>391</v>
      </c>
      <c r="C68" s="1" t="s">
        <v>546</v>
      </c>
      <c r="D68" s="3" t="s">
        <v>541</v>
      </c>
      <c r="E68" s="3" t="s">
        <v>582</v>
      </c>
    </row>
    <row r="69" spans="1:5" ht="34" customHeight="1">
      <c r="A69" s="1" t="s">
        <v>132</v>
      </c>
      <c r="B69" s="1" t="s">
        <v>392</v>
      </c>
      <c r="C69" s="1" t="s">
        <v>218</v>
      </c>
      <c r="D69" s="3" t="s">
        <v>541</v>
      </c>
      <c r="E69" s="3" t="s">
        <v>583</v>
      </c>
    </row>
    <row r="70" spans="1:5" ht="34" customHeight="1">
      <c r="A70" s="1" t="s">
        <v>132</v>
      </c>
      <c r="B70" s="1" t="s">
        <v>393</v>
      </c>
      <c r="C70" s="1" t="s">
        <v>218</v>
      </c>
      <c r="D70" s="3" t="s">
        <v>544</v>
      </c>
      <c r="E70" s="3" t="s">
        <v>545</v>
      </c>
    </row>
    <row r="71" spans="1:5" ht="34" customHeight="1">
      <c r="A71" s="1" t="s">
        <v>134</v>
      </c>
      <c r="B71" s="1" t="s">
        <v>394</v>
      </c>
      <c r="C71" s="1" t="s">
        <v>218</v>
      </c>
      <c r="D71" s="3" t="s">
        <v>541</v>
      </c>
      <c r="E71" s="3" t="s">
        <v>542</v>
      </c>
    </row>
    <row r="72" spans="1:5" ht="34" customHeight="1">
      <c r="A72" s="1" t="s">
        <v>134</v>
      </c>
      <c r="B72" s="1" t="s">
        <v>172</v>
      </c>
      <c r="C72" s="1" t="s">
        <v>218</v>
      </c>
      <c r="D72" s="3" t="s">
        <v>541</v>
      </c>
      <c r="E72" s="3" t="s">
        <v>549</v>
      </c>
    </row>
    <row r="73" spans="1:5" ht="34" customHeight="1">
      <c r="A73" s="1" t="s">
        <v>134</v>
      </c>
      <c r="B73" s="1" t="s">
        <v>141</v>
      </c>
      <c r="C73" s="1" t="s">
        <v>218</v>
      </c>
      <c r="D73" s="3" t="s">
        <v>541</v>
      </c>
      <c r="E73" s="3" t="s">
        <v>141</v>
      </c>
    </row>
    <row r="74" spans="1:5" ht="34" customHeight="1">
      <c r="A74" s="1" t="s">
        <v>134</v>
      </c>
      <c r="B74" s="1" t="s">
        <v>395</v>
      </c>
      <c r="C74" s="1" t="s">
        <v>218</v>
      </c>
      <c r="D74" s="3" t="s">
        <v>584</v>
      </c>
      <c r="E74" s="3" t="s">
        <v>395</v>
      </c>
    </row>
    <row r="75" spans="1:5" ht="34" customHeight="1">
      <c r="A75" s="1" t="s">
        <v>134</v>
      </c>
      <c r="B75" s="1" t="s">
        <v>396</v>
      </c>
      <c r="C75" s="1" t="s">
        <v>218</v>
      </c>
      <c r="D75" s="3" t="s">
        <v>541</v>
      </c>
      <c r="E75" s="3" t="s">
        <v>396</v>
      </c>
    </row>
    <row r="76" spans="1:5" ht="34" customHeight="1">
      <c r="A76" s="1" t="s">
        <v>134</v>
      </c>
      <c r="B76" s="1" t="s">
        <v>313</v>
      </c>
      <c r="C76" s="1" t="s">
        <v>218</v>
      </c>
      <c r="D76" s="3" t="s">
        <v>544</v>
      </c>
      <c r="E76" s="3" t="s">
        <v>545</v>
      </c>
    </row>
    <row r="77" spans="1:5" ht="34" customHeight="1">
      <c r="A77" s="1" t="s">
        <v>134</v>
      </c>
      <c r="B77" s="1" t="s">
        <v>397</v>
      </c>
      <c r="C77" s="1" t="s">
        <v>218</v>
      </c>
      <c r="D77" s="3" t="s">
        <v>541</v>
      </c>
      <c r="E77" s="3" t="s">
        <v>585</v>
      </c>
    </row>
    <row r="78" spans="1:5" ht="34" customHeight="1">
      <c r="A78" s="1" t="s">
        <v>134</v>
      </c>
      <c r="B78" s="1" t="s">
        <v>398</v>
      </c>
      <c r="C78" s="1" t="s">
        <v>218</v>
      </c>
      <c r="D78" s="3" t="s">
        <v>550</v>
      </c>
      <c r="E78" s="3" t="s">
        <v>398</v>
      </c>
    </row>
    <row r="79" spans="1:5" ht="34" customHeight="1">
      <c r="A79" s="1" t="s">
        <v>134</v>
      </c>
      <c r="B79" s="1" t="s">
        <v>399</v>
      </c>
      <c r="C79" s="1" t="s">
        <v>218</v>
      </c>
      <c r="D79" s="3" t="s">
        <v>541</v>
      </c>
      <c r="E79" s="3" t="s">
        <v>586</v>
      </c>
    </row>
    <row r="80" spans="1:5" ht="34" customHeight="1">
      <c r="A80" s="1" t="s">
        <v>134</v>
      </c>
      <c r="B80" s="1" t="s">
        <v>400</v>
      </c>
      <c r="C80" s="1" t="s">
        <v>218</v>
      </c>
      <c r="D80" s="3" t="s">
        <v>587</v>
      </c>
      <c r="E80" s="3" t="s">
        <v>588</v>
      </c>
    </row>
    <row r="81" spans="1:5" ht="34" customHeight="1">
      <c r="A81" s="1" t="s">
        <v>134</v>
      </c>
      <c r="B81" s="1" t="s">
        <v>401</v>
      </c>
      <c r="C81" s="1" t="s">
        <v>218</v>
      </c>
      <c r="D81" s="3" t="s">
        <v>589</v>
      </c>
      <c r="E81" s="3" t="s">
        <v>590</v>
      </c>
    </row>
    <row r="82" spans="1:5" ht="34" customHeight="1">
      <c r="A82" s="1" t="s">
        <v>134</v>
      </c>
      <c r="B82" s="1" t="s">
        <v>402</v>
      </c>
      <c r="C82" s="1" t="s">
        <v>218</v>
      </c>
      <c r="D82" s="3" t="s">
        <v>541</v>
      </c>
      <c r="E82" s="3" t="s">
        <v>402</v>
      </c>
    </row>
    <row r="83" spans="1:5" ht="34" customHeight="1">
      <c r="A83" s="1" t="s">
        <v>134</v>
      </c>
      <c r="B83" s="1" t="s">
        <v>403</v>
      </c>
      <c r="C83" s="1" t="s">
        <v>546</v>
      </c>
      <c r="D83" s="3" t="s">
        <v>541</v>
      </c>
      <c r="E83" s="3" t="s">
        <v>591</v>
      </c>
    </row>
    <row r="84" spans="1:5" ht="34" customHeight="1">
      <c r="A84" s="1" t="s">
        <v>136</v>
      </c>
      <c r="B84" s="1" t="s">
        <v>525</v>
      </c>
      <c r="C84" s="1" t="s">
        <v>218</v>
      </c>
      <c r="D84" s="3" t="s">
        <v>541</v>
      </c>
      <c r="E84" s="3" t="s">
        <v>542</v>
      </c>
    </row>
    <row r="85" spans="1:5" ht="34" customHeight="1">
      <c r="A85" s="1" t="s">
        <v>136</v>
      </c>
      <c r="B85" s="1" t="s">
        <v>172</v>
      </c>
      <c r="C85" s="1" t="s">
        <v>218</v>
      </c>
      <c r="D85" s="3" t="s">
        <v>541</v>
      </c>
      <c r="E85" s="3" t="s">
        <v>549</v>
      </c>
    </row>
    <row r="86" spans="1:5" ht="34" customHeight="1">
      <c r="A86" s="1" t="s">
        <v>136</v>
      </c>
      <c r="B86" s="1" t="s">
        <v>141</v>
      </c>
      <c r="C86" s="1" t="s">
        <v>218</v>
      </c>
      <c r="D86" s="3" t="s">
        <v>541</v>
      </c>
      <c r="E86" s="3" t="s">
        <v>141</v>
      </c>
    </row>
    <row r="87" spans="1:5" ht="34" customHeight="1">
      <c r="A87" s="1" t="s">
        <v>136</v>
      </c>
      <c r="B87" s="1" t="s">
        <v>526</v>
      </c>
      <c r="C87" s="1" t="s">
        <v>218</v>
      </c>
      <c r="D87" s="3" t="s">
        <v>541</v>
      </c>
      <c r="E87" s="3" t="s">
        <v>526</v>
      </c>
    </row>
    <row r="88" spans="1:5" ht="34" customHeight="1">
      <c r="A88" s="1" t="s">
        <v>136</v>
      </c>
      <c r="B88" s="1" t="s">
        <v>527</v>
      </c>
      <c r="C88" s="1" t="s">
        <v>218</v>
      </c>
      <c r="D88" s="3" t="s">
        <v>541</v>
      </c>
      <c r="E88" s="3" t="s">
        <v>592</v>
      </c>
    </row>
    <row r="89" spans="1:5" ht="34" customHeight="1">
      <c r="A89" s="1" t="s">
        <v>136</v>
      </c>
      <c r="B89" s="1" t="s">
        <v>528</v>
      </c>
      <c r="C89" s="1" t="s">
        <v>218</v>
      </c>
      <c r="D89" s="3" t="s">
        <v>541</v>
      </c>
      <c r="E89" s="3" t="s">
        <v>593</v>
      </c>
    </row>
    <row r="90" spans="1:5" ht="34" customHeight="1">
      <c r="A90" s="1" t="s">
        <v>136</v>
      </c>
      <c r="B90" s="1" t="s">
        <v>529</v>
      </c>
      <c r="C90" s="1" t="s">
        <v>218</v>
      </c>
      <c r="D90" s="3" t="s">
        <v>544</v>
      </c>
      <c r="E90" s="3" t="s">
        <v>545</v>
      </c>
    </row>
    <row r="91" spans="1:5" ht="34" customHeight="1">
      <c r="A91" s="1" t="s">
        <v>136</v>
      </c>
      <c r="B91" s="1" t="s">
        <v>530</v>
      </c>
      <c r="C91" s="1" t="s">
        <v>546</v>
      </c>
      <c r="D91" s="3" t="s">
        <v>541</v>
      </c>
      <c r="E91" s="3" t="s">
        <v>530</v>
      </c>
    </row>
    <row r="92" spans="1:5" ht="34" customHeight="1">
      <c r="A92" s="1" t="s">
        <v>138</v>
      </c>
      <c r="B92" s="1" t="s">
        <v>531</v>
      </c>
      <c r="C92" s="1" t="s">
        <v>218</v>
      </c>
      <c r="D92" s="3" t="s">
        <v>594</v>
      </c>
      <c r="E92" s="3" t="s">
        <v>595</v>
      </c>
    </row>
    <row r="93" spans="1:5" ht="34" customHeight="1">
      <c r="A93" s="1" t="s">
        <v>138</v>
      </c>
      <c r="B93" s="1" t="s">
        <v>532</v>
      </c>
      <c r="C93" s="1" t="s">
        <v>218</v>
      </c>
      <c r="D93" s="3" t="s">
        <v>544</v>
      </c>
      <c r="E93" s="3" t="s">
        <v>545</v>
      </c>
    </row>
    <row r="94" spans="1:5" ht="34" customHeight="1">
      <c r="A94" s="1" t="s">
        <v>138</v>
      </c>
      <c r="B94" s="1" t="s">
        <v>146</v>
      </c>
      <c r="C94" s="1" t="s">
        <v>218</v>
      </c>
      <c r="D94" s="3" t="s">
        <v>541</v>
      </c>
      <c r="E94" s="3" t="s">
        <v>548</v>
      </c>
    </row>
    <row r="95" spans="1:5" ht="34" customHeight="1">
      <c r="A95" s="1" t="s">
        <v>138</v>
      </c>
      <c r="B95" s="1" t="s">
        <v>533</v>
      </c>
      <c r="C95" s="1" t="s">
        <v>218</v>
      </c>
      <c r="D95" s="3" t="s">
        <v>541</v>
      </c>
      <c r="E95" s="3" t="s">
        <v>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Coverage</vt:lpstr>
      <vt:lpstr>Alerts</vt:lpstr>
      <vt:lpstr>Routes</vt:lpstr>
      <vt:lpstr>Route Locations</vt:lpstr>
      <vt:lpstr>Assessments</vt:lpstr>
      <vt:lpstr>Needs</vt:lpstr>
      <vt:lpstr>Screening</vt:lpstr>
      <vt:lpstr>Activities</vt:lpstr>
      <vt:lpstr>Transfers</vt:lpstr>
      <vt:lpstr>Metadata</vt:lpstr>
      <vt:lpstr>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CORDEL</dc:creator>
  <cp:lastModifiedBy>Jubilio MAUSSE</cp:lastModifiedBy>
  <dcterms:created xsi:type="dcterms:W3CDTF">2026-10-19T12:09:35Z</dcterms:created>
  <dcterms:modified xsi:type="dcterms:W3CDTF">2026-10-21T08:59:30Z</dcterms:modified>
</cp:coreProperties>
</file>